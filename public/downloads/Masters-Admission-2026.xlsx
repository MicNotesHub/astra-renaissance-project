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2b864ae9d465c1a/Desktop/"/>
    </mc:Choice>
  </mc:AlternateContent>
  <xr:revisionPtr revIDLastSave="2" documentId="8_{AC7DA1AA-379C-4971-9B17-2194FF6BF1A6}" xr6:coauthVersionLast="47" xr6:coauthVersionMax="47" xr10:uidLastSave="{B3820B1A-F96B-42C1-922C-99D41662D298}"/>
  <bookViews>
    <workbookView xWindow="-110" yWindow="-110" windowWidth="19420" windowHeight="10300" firstSheet="2" activeTab="2" xr2:uid="{00000000-000D-0000-FFFF-FFFF00000000}"/>
  </bookViews>
  <sheets>
    <sheet name="Risposte del modulo 1" sheetId="1" state="hidden" r:id="rId1"/>
    <sheet name="data" sheetId="2" state="hidden" r:id="rId2"/>
    <sheet name="results" sheetId="3" r:id="rId3"/>
  </sheets>
  <definedNames>
    <definedName name="_xlnm._FilterDatabase" localSheetId="1" hidden="1">data!$G$1:$G$281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K219" i="3"/>
  <c r="J219" i="3"/>
  <c r="I219" i="3"/>
  <c r="K217" i="3"/>
  <c r="J217" i="3"/>
  <c r="I217" i="3"/>
  <c r="K202" i="3"/>
  <c r="J202" i="3"/>
  <c r="I202" i="3"/>
  <c r="K200" i="3"/>
  <c r="J200" i="3"/>
  <c r="I200" i="3"/>
  <c r="K195" i="3"/>
  <c r="J195" i="3"/>
  <c r="I195" i="3"/>
  <c r="K193" i="3"/>
  <c r="J193" i="3"/>
  <c r="I193" i="3"/>
  <c r="K161" i="3"/>
  <c r="J161" i="3"/>
  <c r="I161" i="3"/>
  <c r="K159" i="3"/>
  <c r="J159" i="3"/>
  <c r="I159" i="3"/>
  <c r="K147" i="3"/>
  <c r="J147" i="3"/>
  <c r="I147" i="3"/>
  <c r="K145" i="3"/>
  <c r="J145" i="3"/>
  <c r="I145" i="3"/>
  <c r="K138" i="3"/>
  <c r="J138" i="3"/>
  <c r="I138" i="3"/>
  <c r="K136" i="3"/>
  <c r="J136" i="3"/>
  <c r="I136" i="3"/>
  <c r="K105" i="3"/>
  <c r="J105" i="3"/>
  <c r="K103" i="3"/>
  <c r="I105" i="3"/>
  <c r="J103" i="3"/>
  <c r="I103" i="3"/>
  <c r="K94" i="3"/>
  <c r="J94" i="3"/>
  <c r="I94" i="3"/>
  <c r="K92" i="3"/>
  <c r="J92" i="3"/>
  <c r="I92" i="3"/>
  <c r="K78" i="3"/>
  <c r="J78" i="3"/>
  <c r="I78" i="3"/>
  <c r="K76" i="3"/>
  <c r="J76" i="3"/>
  <c r="I76" i="3"/>
  <c r="K68" i="3"/>
  <c r="J68" i="3"/>
  <c r="I68" i="3"/>
  <c r="K66" i="3"/>
  <c r="J66" i="3"/>
  <c r="I66" i="3"/>
  <c r="K60" i="3"/>
  <c r="J60" i="3"/>
  <c r="I60" i="3"/>
  <c r="K58" i="3"/>
  <c r="J58" i="3"/>
  <c r="I58" i="3"/>
  <c r="K53" i="3"/>
  <c r="J53" i="3"/>
  <c r="I53" i="3"/>
  <c r="K51" i="3"/>
  <c r="J51" i="3"/>
  <c r="I51" i="3"/>
  <c r="K46" i="3"/>
  <c r="J46" i="3"/>
  <c r="I46" i="3"/>
  <c r="K44" i="3"/>
  <c r="J44" i="3"/>
  <c r="I44" i="3"/>
  <c r="K40" i="3"/>
  <c r="J40" i="3"/>
  <c r="I40" i="3"/>
  <c r="K38" i="3"/>
  <c r="J38" i="3"/>
  <c r="I38" i="3"/>
  <c r="K5" i="3"/>
  <c r="J5" i="3"/>
  <c r="I5" i="3"/>
  <c r="K3" i="3"/>
  <c r="I3" i="3"/>
</calcChain>
</file>

<file path=xl/sharedStrings.xml><?xml version="1.0" encoding="utf-8"?>
<sst xmlns="http://schemas.openxmlformats.org/spreadsheetml/2006/main" count="3077" uniqueCount="200">
  <si>
    <t>Informazioni cronologiche</t>
  </si>
  <si>
    <t>What was your GPA at the time of the application (31st July)? 
Shown on the right of the you@b pro app</t>
  </si>
  <si>
    <t>CFUs accumulated at the time of the application (31st July)? 
Enter the total number of university credits</t>
  </si>
  <si>
    <t>Which Bachelor degree did you attend ?</t>
  </si>
  <si>
    <t>Were you admitted to a master’s degree?</t>
  </si>
  <si>
    <t xml:space="preserve">Which Master’s Course were you admitted into ? </t>
  </si>
  <si>
    <t>What were your choices ? [1st Choice]</t>
  </si>
  <si>
    <t>What were your choices ? [2nd Choice]</t>
  </si>
  <si>
    <t>What were your choices ? [3rd Choice]</t>
  </si>
  <si>
    <t>What were your choices ? [4th Choice]</t>
  </si>
  <si>
    <t>What were your choices ? [5th Choice]</t>
  </si>
  <si>
    <t>Did you receive a merit scholarship ?</t>
  </si>
  <si>
    <t>Did you upload the CV ?</t>
  </si>
  <si>
    <t>Did you upload the Cover Letter ?</t>
  </si>
  <si>
    <t>Were you an on-track ('in corso')</t>
  </si>
  <si>
    <t>CLEAM</t>
  </si>
  <si>
    <t>Yes</t>
  </si>
  <si>
    <t>ACME</t>
  </si>
  <si>
    <t>EMIT</t>
  </si>
  <si>
    <t>IM (concentrations)</t>
  </si>
  <si>
    <t>DSBA</t>
  </si>
  <si>
    <t>No</t>
  </si>
  <si>
    <t>26.6</t>
  </si>
  <si>
    <t>BEMACC</t>
  </si>
  <si>
    <t>AFM</t>
  </si>
  <si>
    <t>MM</t>
  </si>
  <si>
    <t>GIO</t>
  </si>
  <si>
    <t>IM CEMS</t>
  </si>
  <si>
    <t>Full</t>
  </si>
  <si>
    <t>TS</t>
  </si>
  <si>
    <t>CYBER</t>
  </si>
  <si>
    <t>FIN</t>
  </si>
  <si>
    <t>26,94</t>
  </si>
  <si>
    <t>27,18</t>
  </si>
  <si>
    <t>27.22</t>
  </si>
  <si>
    <t>27.31</t>
  </si>
  <si>
    <t>27.47</t>
  </si>
  <si>
    <t>BIEM</t>
  </si>
  <si>
    <t>IM DD ESSEC Luxury</t>
  </si>
  <si>
    <t>27.84</t>
  </si>
  <si>
    <t>Maximum, I don’t remember how many</t>
  </si>
  <si>
    <t>CLEF</t>
  </si>
  <si>
    <t>ESS</t>
  </si>
  <si>
    <t>28.18</t>
  </si>
  <si>
    <t>28.29</t>
  </si>
  <si>
    <t>28.71</t>
  </si>
  <si>
    <t>CLEACC</t>
  </si>
  <si>
    <t>28.83</t>
  </si>
  <si>
    <t>28.89</t>
  </si>
  <si>
    <t>28.90</t>
  </si>
  <si>
    <t>29.05</t>
  </si>
  <si>
    <t>29.1</t>
  </si>
  <si>
    <t>29.42</t>
  </si>
  <si>
    <t>29.52</t>
  </si>
  <si>
    <t>30.02</t>
  </si>
  <si>
    <t>27.25</t>
  </si>
  <si>
    <t>BAI</t>
  </si>
  <si>
    <t>AI</t>
  </si>
  <si>
    <t>BEMACS</t>
  </si>
  <si>
    <t>29.65</t>
  </si>
  <si>
    <t>-</t>
  </si>
  <si>
    <t>China MiM</t>
  </si>
  <si>
    <t>CHINA MiM</t>
  </si>
  <si>
    <t>27.52</t>
  </si>
  <si>
    <t>IM Dual Degree ESSEC</t>
  </si>
  <si>
    <t>28.04</t>
  </si>
  <si>
    <t>24.06</t>
  </si>
  <si>
    <t>25.38</t>
  </si>
  <si>
    <t>Tutti senza la lingua</t>
  </si>
  <si>
    <t>27.13</t>
  </si>
  <si>
    <t>BESS</t>
  </si>
  <si>
    <t>27.54</t>
  </si>
  <si>
    <t>27.55</t>
  </si>
  <si>
    <t>27.63</t>
  </si>
  <si>
    <t>28.6</t>
  </si>
  <si>
    <t>28.9</t>
  </si>
  <si>
    <t>EMIT/INTENT</t>
  </si>
  <si>
    <t>25.96</t>
  </si>
  <si>
    <t>26.13</t>
  </si>
  <si>
    <t>26.14</t>
  </si>
  <si>
    <t>26.25</t>
  </si>
  <si>
    <t>26.61</t>
  </si>
  <si>
    <t>26.79</t>
  </si>
  <si>
    <t>26.8</t>
  </si>
  <si>
    <t>27.59</t>
  </si>
  <si>
    <t>28.48</t>
  </si>
  <si>
    <t>BIG</t>
  </si>
  <si>
    <t>28.00</t>
  </si>
  <si>
    <t>28.19</t>
  </si>
  <si>
    <t>29.73</t>
  </si>
  <si>
    <t>30.07</t>
  </si>
  <si>
    <t>PPA</t>
  </si>
  <si>
    <t>30.11</t>
  </si>
  <si>
    <t>28.68</t>
  </si>
  <si>
    <t>28.69</t>
  </si>
  <si>
    <t>28.75</t>
  </si>
  <si>
    <t>28.82</t>
  </si>
  <si>
    <t>28.87</t>
  </si>
  <si>
    <t>28.95</t>
  </si>
  <si>
    <t>29.03</t>
  </si>
  <si>
    <t>29.12</t>
  </si>
  <si>
    <t>29.25</t>
  </si>
  <si>
    <t>29.4</t>
  </si>
  <si>
    <t>29.5</t>
  </si>
  <si>
    <t>29.54</t>
  </si>
  <si>
    <t>29.58</t>
  </si>
  <si>
    <t>29.6</t>
  </si>
  <si>
    <t>BIEF</t>
  </si>
  <si>
    <t>29.62</t>
  </si>
  <si>
    <t>29.64</t>
  </si>
  <si>
    <t>29.75</t>
  </si>
  <si>
    <t>29.77</t>
  </si>
  <si>
    <t>Tutti</t>
  </si>
  <si>
    <t>30.00</t>
  </si>
  <si>
    <t>30.01</t>
  </si>
  <si>
    <t>30.03</t>
  </si>
  <si>
    <t>30.2</t>
  </si>
  <si>
    <t>26.65</t>
  </si>
  <si>
    <t>27.04</t>
  </si>
  <si>
    <t>27.43</t>
  </si>
  <si>
    <t>27.7</t>
  </si>
  <si>
    <t>total</t>
  </si>
  <si>
    <t>IM CEMS MiM</t>
  </si>
  <si>
    <t>28.5</t>
  </si>
  <si>
    <t>29.00</t>
  </si>
  <si>
    <t>29.50</t>
  </si>
  <si>
    <t>29.69</t>
  </si>
  <si>
    <t>29.86</t>
  </si>
  <si>
    <t>IM Concentrations</t>
  </si>
  <si>
    <t>26.57</t>
  </si>
  <si>
    <t>26.73</t>
  </si>
  <si>
    <t>26.85</t>
  </si>
  <si>
    <t>26.86</t>
  </si>
  <si>
    <t>26.91</t>
  </si>
  <si>
    <t>26.99</t>
  </si>
  <si>
    <t>27.03</t>
  </si>
  <si>
    <t>27.2</t>
  </si>
  <si>
    <t>27.23</t>
  </si>
  <si>
    <t>27.38</t>
  </si>
  <si>
    <t>27.4</t>
  </si>
  <si>
    <t>27.44</t>
  </si>
  <si>
    <t>27.49</t>
  </si>
  <si>
    <t>27.67</t>
  </si>
  <si>
    <t>27.87</t>
  </si>
  <si>
    <t>I don’t remember but I took all the exams except for the second language (French)</t>
  </si>
  <si>
    <t>27.97</t>
  </si>
  <si>
    <t>28.12</t>
  </si>
  <si>
    <t>28.40</t>
  </si>
  <si>
    <t>28.46</t>
  </si>
  <si>
    <t>I did all the exams</t>
  </si>
  <si>
    <t>28.81</t>
  </si>
  <si>
    <t>Maximum</t>
  </si>
  <si>
    <t>28.85</t>
  </si>
  <si>
    <t>28.55</t>
  </si>
  <si>
    <t>IM DUAL DEGREE ESSEC</t>
  </si>
  <si>
    <t>29.66</t>
  </si>
  <si>
    <t>126 (o max se ho sbagliato il calcolo)</t>
  </si>
  <si>
    <t>24.95</t>
  </si>
  <si>
    <t>112/118</t>
  </si>
  <si>
    <t>25.26</t>
  </si>
  <si>
    <t>25.3</t>
  </si>
  <si>
    <t>25.97</t>
  </si>
  <si>
    <t>26.66</t>
  </si>
  <si>
    <t>26.68</t>
  </si>
  <si>
    <t>27.1</t>
  </si>
  <si>
    <t>27.26</t>
  </si>
  <si>
    <t>23.88</t>
  </si>
  <si>
    <t>24.28</t>
  </si>
  <si>
    <t>24.5</t>
  </si>
  <si>
    <t>25.073</t>
  </si>
  <si>
    <t>25.4</t>
  </si>
  <si>
    <t>tutti tranne sistemi finanziari</t>
  </si>
  <si>
    <t>26.39</t>
  </si>
  <si>
    <t>24.00</t>
  </si>
  <si>
    <t>24.2</t>
  </si>
  <si>
    <t>24.3</t>
  </si>
  <si>
    <t>24.4</t>
  </si>
  <si>
    <t>24.55</t>
  </si>
  <si>
    <t>24.74</t>
  </si>
  <si>
    <t>25.42</t>
  </si>
  <si>
    <t>25.43</t>
  </si>
  <si>
    <t>26.44</t>
  </si>
  <si>
    <t>25.27</t>
  </si>
  <si>
    <t>28.05</t>
  </si>
  <si>
    <t>gpa</t>
  </si>
  <si>
    <t>TOTAL CFU</t>
  </si>
  <si>
    <t>Bach</t>
  </si>
  <si>
    <t>in or not</t>
  </si>
  <si>
    <t>Master</t>
  </si>
  <si>
    <t>GPA</t>
  </si>
  <si>
    <t>CFU</t>
  </si>
  <si>
    <t>BACHELOR</t>
  </si>
  <si>
    <t>ADMITTED</t>
  </si>
  <si>
    <t>MASTER</t>
  </si>
  <si>
    <t>MAX GPA</t>
  </si>
  <si>
    <t>MIN GPA</t>
  </si>
  <si>
    <t>MEAN GPA</t>
  </si>
  <si>
    <t>MAX CFU</t>
  </si>
  <si>
    <t>MIN CFU</t>
  </si>
  <si>
    <t>MEAN CFU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</si>
</sst>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isposte del modul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181">
  <tableColumns count="15">
    <tableColumn id="1" xr3:uid="{00000000-0010-0000-0000-000001000000}" name="Informazioni cronologiche"/>
    <tableColumn id="2" xr3:uid="{00000000-0010-0000-0000-000002000000}" name="What was your GPA at the time of the application (31st July)? _x000a_Shown on the right of the you@b pro app"/>
    <tableColumn id="3" xr3:uid="{00000000-0010-0000-0000-000003000000}" name="CFUs accumulated at the time of the application (31st July)? _x000a_Enter the total number of university credits"/>
    <tableColumn id="4" xr3:uid="{00000000-0010-0000-0000-000004000000}" name="Which Bachelor degree did you attend ?"/>
    <tableColumn id="5" xr3:uid="{00000000-0010-0000-0000-000005000000}" name="Were you admitted to a master’s degree?"/>
    <tableColumn id="6" xr3:uid="{00000000-0010-0000-0000-000006000000}" name="Which Master’s Course were you admitted into ? "/>
    <tableColumn id="7" xr3:uid="{00000000-0010-0000-0000-000007000000}" name="What were your choices ? [1st Choice]"/>
    <tableColumn id="8" xr3:uid="{00000000-0010-0000-0000-000008000000}" name="What were your choices ? [2nd Choice]"/>
    <tableColumn id="9" xr3:uid="{00000000-0010-0000-0000-000009000000}" name="What were your choices ? [3rd Choice]"/>
    <tableColumn id="10" xr3:uid="{00000000-0010-0000-0000-00000A000000}" name="What were your choices ? [4th Choice]"/>
    <tableColumn id="11" xr3:uid="{00000000-0010-0000-0000-00000B000000}" name="What were your choices ? [5th Choice]"/>
    <tableColumn id="12" xr3:uid="{00000000-0010-0000-0000-00000C000000}" name="Did you receive a merit scholarship ?"/>
    <tableColumn id="13" xr3:uid="{00000000-0010-0000-0000-00000D000000}" name="Did you upload the CV ?"/>
    <tableColumn id="14" xr3:uid="{00000000-0010-0000-0000-00000E000000}" name="Did you upload the Cover Letter ?"/>
    <tableColumn id="15" xr3:uid="{00000000-0010-0000-0000-00000F000000}" name="Were you an on-track ('in corso')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81"/>
  <sheetViews>
    <sheetView zoomScale="4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activeCellId="4" sqref="C1:C1048576 D1:D1048576 E1:E1048576 F1:F1048576 B1:B1048576"/>
    </sheetView>
  </sheetViews>
  <sheetFormatPr defaultColWidth="12.6328125" defaultRowHeight="15.75" customHeight="1" x14ac:dyDescent="0.25"/>
  <cols>
    <col min="1" max="1" width="24.36328125" customWidth="1"/>
    <col min="2" max="3" width="37.6328125" customWidth="1"/>
    <col min="4" max="4" width="33.90625" customWidth="1"/>
    <col min="5" max="5" width="34.7265625" customWidth="1"/>
    <col min="6" max="6" width="37.6328125" customWidth="1"/>
    <col min="7" max="11" width="18.90625" customWidth="1"/>
    <col min="12" max="12" width="31.7265625" customWidth="1"/>
    <col min="13" max="13" width="22.453125" customWidth="1"/>
    <col min="14" max="14" width="29.08984375" customWidth="1"/>
    <col min="15" max="15" width="28.36328125" customWidth="1"/>
    <col min="16" max="21" width="18.90625" customWidth="1"/>
  </cols>
  <sheetData>
    <row r="1" spans="1:15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4">
        <v>45982.772402175928</v>
      </c>
      <c r="B2" s="5">
        <v>25.582000000000001</v>
      </c>
      <c r="C2" s="6">
        <v>93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K2" s="6" t="s">
        <v>17</v>
      </c>
      <c r="L2" s="6" t="s">
        <v>21</v>
      </c>
      <c r="M2" s="6" t="s">
        <v>16</v>
      </c>
      <c r="N2" s="6" t="s">
        <v>16</v>
      </c>
      <c r="O2" s="6" t="s">
        <v>16</v>
      </c>
    </row>
    <row r="3" spans="1:15" ht="22.5" customHeight="1" x14ac:dyDescent="0.25">
      <c r="A3" s="4">
        <v>45982.748750810184</v>
      </c>
      <c r="B3" s="5" t="s">
        <v>22</v>
      </c>
      <c r="C3" s="3">
        <v>116</v>
      </c>
      <c r="D3" s="6" t="s">
        <v>23</v>
      </c>
      <c r="E3" s="6" t="s">
        <v>16</v>
      </c>
      <c r="F3" s="6" t="s">
        <v>17</v>
      </c>
      <c r="G3" s="6" t="s">
        <v>17</v>
      </c>
      <c r="L3" s="6" t="s">
        <v>21</v>
      </c>
      <c r="M3" s="6" t="s">
        <v>16</v>
      </c>
      <c r="N3" s="6" t="s">
        <v>16</v>
      </c>
      <c r="O3" s="6" t="s">
        <v>16</v>
      </c>
    </row>
    <row r="4" spans="1:15" ht="22.5" customHeight="1" x14ac:dyDescent="0.25">
      <c r="A4" s="4">
        <v>45982.688683252316</v>
      </c>
      <c r="B4" s="5">
        <v>27.25</v>
      </c>
      <c r="C4" s="3">
        <v>119</v>
      </c>
      <c r="D4" s="6" t="s">
        <v>15</v>
      </c>
      <c r="E4" s="6" t="s">
        <v>16</v>
      </c>
      <c r="F4" s="6" t="s">
        <v>24</v>
      </c>
      <c r="G4" s="6" t="s">
        <v>24</v>
      </c>
      <c r="H4" s="6" t="s">
        <v>19</v>
      </c>
      <c r="I4" s="6" t="s">
        <v>18</v>
      </c>
      <c r="J4" s="6"/>
      <c r="K4" s="6"/>
      <c r="L4" s="6" t="s">
        <v>21</v>
      </c>
      <c r="M4" s="6" t="s">
        <v>21</v>
      </c>
      <c r="N4" s="6" t="s">
        <v>21</v>
      </c>
      <c r="O4" s="6" t="s">
        <v>16</v>
      </c>
    </row>
    <row r="5" spans="1:15" ht="22.5" customHeight="1" x14ac:dyDescent="0.25">
      <c r="A5" s="4">
        <v>45982.819542592595</v>
      </c>
      <c r="B5" s="5">
        <v>27.28</v>
      </c>
      <c r="C5" s="6">
        <v>125</v>
      </c>
      <c r="D5" s="6" t="s">
        <v>15</v>
      </c>
      <c r="E5" s="6" t="s">
        <v>16</v>
      </c>
      <c r="F5" s="6" t="s">
        <v>24</v>
      </c>
      <c r="G5" s="6" t="s">
        <v>24</v>
      </c>
      <c r="H5" s="6" t="s">
        <v>19</v>
      </c>
      <c r="I5" s="6" t="s">
        <v>25</v>
      </c>
      <c r="L5" s="6" t="s">
        <v>21</v>
      </c>
      <c r="M5" s="6" t="s">
        <v>21</v>
      </c>
      <c r="N5" s="6" t="s">
        <v>21</v>
      </c>
      <c r="O5" s="6" t="s">
        <v>16</v>
      </c>
    </row>
    <row r="6" spans="1:15" ht="22.5" customHeight="1" x14ac:dyDescent="0.25">
      <c r="A6" s="4">
        <v>45983.421180266203</v>
      </c>
      <c r="B6" s="5">
        <v>27.4</v>
      </c>
      <c r="C6" s="6">
        <v>109</v>
      </c>
      <c r="D6" s="6" t="s">
        <v>15</v>
      </c>
      <c r="E6" s="6" t="s">
        <v>16</v>
      </c>
      <c r="F6" s="6" t="s">
        <v>24</v>
      </c>
      <c r="G6" s="6" t="s">
        <v>24</v>
      </c>
      <c r="H6" s="6" t="s">
        <v>19</v>
      </c>
      <c r="I6" s="6" t="s">
        <v>18</v>
      </c>
      <c r="J6" s="6" t="s">
        <v>26</v>
      </c>
      <c r="K6" s="6" t="s">
        <v>20</v>
      </c>
      <c r="L6" s="6" t="s">
        <v>21</v>
      </c>
      <c r="M6" s="6" t="s">
        <v>16</v>
      </c>
      <c r="N6" s="6" t="s">
        <v>16</v>
      </c>
      <c r="O6" s="6" t="s">
        <v>16</v>
      </c>
    </row>
    <row r="7" spans="1:15" ht="22.5" customHeight="1" x14ac:dyDescent="0.25">
      <c r="A7" s="4">
        <v>45982.696752858799</v>
      </c>
      <c r="B7" s="5">
        <v>27.6</v>
      </c>
      <c r="C7" s="3">
        <v>121</v>
      </c>
      <c r="D7" s="6" t="s">
        <v>15</v>
      </c>
      <c r="E7" s="6" t="s">
        <v>16</v>
      </c>
      <c r="F7" s="6" t="s">
        <v>24</v>
      </c>
      <c r="G7" s="6" t="s">
        <v>24</v>
      </c>
      <c r="H7" s="6" t="s">
        <v>27</v>
      </c>
      <c r="I7" s="6" t="s">
        <v>19</v>
      </c>
      <c r="J7" s="6" t="s">
        <v>18</v>
      </c>
      <c r="K7" s="6" t="s">
        <v>25</v>
      </c>
      <c r="L7" s="6" t="s">
        <v>21</v>
      </c>
      <c r="M7" s="6" t="s">
        <v>16</v>
      </c>
      <c r="N7" s="6" t="s">
        <v>16</v>
      </c>
      <c r="O7" s="6" t="s">
        <v>16</v>
      </c>
    </row>
    <row r="8" spans="1:15" ht="22.5" customHeight="1" x14ac:dyDescent="0.25">
      <c r="A8" s="4">
        <v>45982.750384756946</v>
      </c>
      <c r="B8" s="5">
        <v>27.69</v>
      </c>
      <c r="C8" s="3">
        <v>108</v>
      </c>
      <c r="D8" s="6" t="s">
        <v>15</v>
      </c>
      <c r="E8" s="6" t="s">
        <v>16</v>
      </c>
      <c r="F8" s="6" t="s">
        <v>24</v>
      </c>
      <c r="G8" s="6" t="s">
        <v>24</v>
      </c>
      <c r="L8" s="6" t="s">
        <v>21</v>
      </c>
      <c r="M8" s="6" t="s">
        <v>21</v>
      </c>
      <c r="N8" s="6" t="s">
        <v>21</v>
      </c>
      <c r="O8" s="6" t="s">
        <v>16</v>
      </c>
    </row>
    <row r="9" spans="1:15" ht="22.5" customHeight="1" x14ac:dyDescent="0.25">
      <c r="A9" s="4">
        <v>45982.722915729166</v>
      </c>
      <c r="B9" s="5">
        <v>27.7</v>
      </c>
      <c r="C9" s="3" t="s">
        <v>28</v>
      </c>
      <c r="D9" s="6" t="s">
        <v>15</v>
      </c>
      <c r="E9" s="6" t="s">
        <v>16</v>
      </c>
      <c r="F9" s="6" t="s">
        <v>24</v>
      </c>
      <c r="G9" s="6" t="s">
        <v>24</v>
      </c>
      <c r="H9" s="6" t="s">
        <v>19</v>
      </c>
      <c r="L9" s="6" t="s">
        <v>21</v>
      </c>
      <c r="M9" s="6" t="s">
        <v>16</v>
      </c>
      <c r="N9" s="6" t="s">
        <v>16</v>
      </c>
      <c r="O9" s="6" t="s">
        <v>21</v>
      </c>
    </row>
    <row r="10" spans="1:15" ht="22.5" customHeight="1" x14ac:dyDescent="0.25">
      <c r="A10" s="4">
        <v>45982.690644571761</v>
      </c>
      <c r="B10" s="5">
        <v>27.8</v>
      </c>
      <c r="C10" s="3">
        <v>120</v>
      </c>
      <c r="D10" s="6" t="s">
        <v>15</v>
      </c>
      <c r="E10" s="6" t="s">
        <v>16</v>
      </c>
      <c r="F10" s="6" t="s">
        <v>24</v>
      </c>
      <c r="G10" s="6" t="s">
        <v>24</v>
      </c>
      <c r="H10" s="6"/>
      <c r="I10" s="6"/>
      <c r="J10" s="6"/>
      <c r="K10" s="6"/>
      <c r="L10" s="6" t="s">
        <v>21</v>
      </c>
      <c r="M10" s="6" t="s">
        <v>21</v>
      </c>
      <c r="N10" s="6" t="s">
        <v>21</v>
      </c>
      <c r="O10" s="6" t="s">
        <v>21</v>
      </c>
    </row>
    <row r="11" spans="1:15" ht="22.5" customHeight="1" x14ac:dyDescent="0.25">
      <c r="A11" s="4">
        <v>45982.672992905093</v>
      </c>
      <c r="B11" s="5">
        <v>27.9</v>
      </c>
      <c r="C11" s="3">
        <v>116</v>
      </c>
      <c r="D11" s="6" t="s">
        <v>15</v>
      </c>
      <c r="E11" s="6" t="s">
        <v>16</v>
      </c>
      <c r="F11" s="6" t="s">
        <v>24</v>
      </c>
      <c r="G11" s="6" t="s">
        <v>24</v>
      </c>
      <c r="H11" s="6" t="s">
        <v>19</v>
      </c>
      <c r="I11" s="6" t="s">
        <v>18</v>
      </c>
      <c r="J11" s="6" t="s">
        <v>29</v>
      </c>
      <c r="K11" s="6" t="s">
        <v>30</v>
      </c>
      <c r="L11" s="6" t="s">
        <v>21</v>
      </c>
      <c r="M11" s="6" t="s">
        <v>21</v>
      </c>
      <c r="N11" s="6" t="s">
        <v>16</v>
      </c>
      <c r="O11" s="6" t="s">
        <v>16</v>
      </c>
    </row>
    <row r="12" spans="1:15" ht="22.5" customHeight="1" x14ac:dyDescent="0.25">
      <c r="A12" s="4">
        <v>45982.749243715283</v>
      </c>
      <c r="B12" s="5">
        <v>28.2</v>
      </c>
      <c r="C12" s="3">
        <v>119</v>
      </c>
      <c r="D12" s="6" t="s">
        <v>15</v>
      </c>
      <c r="E12" s="6" t="s">
        <v>16</v>
      </c>
      <c r="F12" s="6" t="s">
        <v>24</v>
      </c>
      <c r="G12" s="6" t="s">
        <v>24</v>
      </c>
      <c r="L12" s="6" t="s">
        <v>21</v>
      </c>
      <c r="M12" s="6" t="s">
        <v>21</v>
      </c>
      <c r="N12" s="6" t="s">
        <v>21</v>
      </c>
      <c r="O12" s="6" t="s">
        <v>16</v>
      </c>
    </row>
    <row r="13" spans="1:15" ht="22.5" customHeight="1" x14ac:dyDescent="0.25">
      <c r="A13" s="4">
        <v>45982.690370833334</v>
      </c>
      <c r="B13" s="5">
        <v>28.4</v>
      </c>
      <c r="C13" s="3">
        <v>126</v>
      </c>
      <c r="D13" s="6" t="s">
        <v>15</v>
      </c>
      <c r="E13" s="6" t="s">
        <v>16</v>
      </c>
      <c r="F13" s="6" t="s">
        <v>24</v>
      </c>
      <c r="G13" s="6" t="s">
        <v>24</v>
      </c>
      <c r="H13" s="6" t="s">
        <v>27</v>
      </c>
      <c r="I13" s="6" t="s">
        <v>31</v>
      </c>
      <c r="J13" s="6" t="s">
        <v>19</v>
      </c>
      <c r="K13" s="6"/>
      <c r="L13" s="6" t="s">
        <v>21</v>
      </c>
      <c r="M13" s="6" t="s">
        <v>21</v>
      </c>
      <c r="N13" s="6" t="s">
        <v>16</v>
      </c>
      <c r="O13" s="6" t="s">
        <v>16</v>
      </c>
    </row>
    <row r="14" spans="1:15" ht="22.5" customHeight="1" x14ac:dyDescent="0.25">
      <c r="A14" s="4">
        <v>45982.702728553239</v>
      </c>
      <c r="B14" s="5">
        <v>28.63</v>
      </c>
      <c r="C14" s="3">
        <v>119</v>
      </c>
      <c r="D14" s="6" t="s">
        <v>15</v>
      </c>
      <c r="E14" s="6" t="s">
        <v>16</v>
      </c>
      <c r="F14" s="6" t="s">
        <v>24</v>
      </c>
      <c r="G14" s="6" t="s">
        <v>24</v>
      </c>
      <c r="L14" s="6" t="s">
        <v>21</v>
      </c>
      <c r="M14" s="6" t="s">
        <v>21</v>
      </c>
      <c r="N14" s="6" t="s">
        <v>21</v>
      </c>
      <c r="O14" s="6" t="s">
        <v>16</v>
      </c>
    </row>
    <row r="15" spans="1:15" ht="22.5" customHeight="1" x14ac:dyDescent="0.25">
      <c r="A15" s="4">
        <v>45982.689562685184</v>
      </c>
      <c r="B15" s="5">
        <v>28.87</v>
      </c>
      <c r="C15" s="3">
        <v>119</v>
      </c>
      <c r="D15" s="6" t="s">
        <v>15</v>
      </c>
      <c r="E15" s="6" t="s">
        <v>16</v>
      </c>
      <c r="F15" s="6" t="s">
        <v>24</v>
      </c>
      <c r="G15" s="6" t="s">
        <v>24</v>
      </c>
      <c r="H15" s="6" t="s">
        <v>19</v>
      </c>
      <c r="I15" s="6" t="s">
        <v>31</v>
      </c>
      <c r="J15" s="6" t="s">
        <v>25</v>
      </c>
      <c r="K15" s="6" t="s">
        <v>17</v>
      </c>
      <c r="L15" s="6" t="s">
        <v>21</v>
      </c>
      <c r="M15" s="6" t="s">
        <v>16</v>
      </c>
      <c r="N15" s="6" t="s">
        <v>16</v>
      </c>
      <c r="O15" s="6" t="s">
        <v>16</v>
      </c>
    </row>
    <row r="16" spans="1:15" ht="22.5" customHeight="1" x14ac:dyDescent="0.25">
      <c r="A16" s="4">
        <v>45982.693437754628</v>
      </c>
      <c r="B16" s="5">
        <v>29</v>
      </c>
      <c r="C16" s="3">
        <v>112</v>
      </c>
      <c r="D16" s="6" t="s">
        <v>15</v>
      </c>
      <c r="E16" s="6" t="s">
        <v>16</v>
      </c>
      <c r="F16" s="6" t="s">
        <v>24</v>
      </c>
      <c r="G16" s="6" t="s">
        <v>24</v>
      </c>
      <c r="H16" s="6"/>
      <c r="I16" s="6"/>
      <c r="J16" s="6"/>
      <c r="K16" s="6"/>
      <c r="L16" s="6" t="s">
        <v>21</v>
      </c>
      <c r="M16" s="6" t="s">
        <v>16</v>
      </c>
      <c r="N16" s="6" t="s">
        <v>16</v>
      </c>
      <c r="O16" s="6" t="s">
        <v>16</v>
      </c>
    </row>
    <row r="17" spans="1:15" ht="22.5" customHeight="1" x14ac:dyDescent="0.25">
      <c r="A17" s="4">
        <v>45982.689210509256</v>
      </c>
      <c r="B17" s="7" t="s">
        <v>32</v>
      </c>
      <c r="C17" s="3">
        <v>115</v>
      </c>
      <c r="D17" s="6" t="s">
        <v>15</v>
      </c>
      <c r="E17" s="6" t="s">
        <v>16</v>
      </c>
      <c r="F17" s="6" t="s">
        <v>24</v>
      </c>
      <c r="G17" s="6" t="s">
        <v>24</v>
      </c>
      <c r="H17" s="6"/>
      <c r="I17" s="6"/>
      <c r="J17" s="6"/>
      <c r="K17" s="6"/>
      <c r="L17" s="6" t="s">
        <v>21</v>
      </c>
      <c r="M17" s="6" t="s">
        <v>21</v>
      </c>
      <c r="N17" s="6" t="s">
        <v>16</v>
      </c>
      <c r="O17" s="6" t="s">
        <v>16</v>
      </c>
    </row>
    <row r="18" spans="1:15" ht="22.5" customHeight="1" x14ac:dyDescent="0.25">
      <c r="A18" s="4">
        <v>45982.764824791666</v>
      </c>
      <c r="B18" s="7" t="s">
        <v>33</v>
      </c>
      <c r="C18" s="3">
        <v>108</v>
      </c>
      <c r="D18" s="6" t="s">
        <v>15</v>
      </c>
      <c r="E18" s="6" t="s">
        <v>16</v>
      </c>
      <c r="F18" s="6" t="s">
        <v>24</v>
      </c>
      <c r="G18" s="6" t="s">
        <v>24</v>
      </c>
      <c r="L18" s="6" t="s">
        <v>21</v>
      </c>
      <c r="M18" s="6" t="s">
        <v>21</v>
      </c>
      <c r="N18" s="6" t="s">
        <v>16</v>
      </c>
      <c r="O18" s="6" t="s">
        <v>16</v>
      </c>
    </row>
    <row r="19" spans="1:15" ht="22.5" customHeight="1" x14ac:dyDescent="0.25">
      <c r="A19" s="4">
        <v>45982.824002534719</v>
      </c>
      <c r="B19" s="7" t="s">
        <v>34</v>
      </c>
      <c r="C19" s="6">
        <v>119</v>
      </c>
      <c r="D19" s="6" t="s">
        <v>15</v>
      </c>
      <c r="E19" s="6" t="s">
        <v>16</v>
      </c>
      <c r="F19" s="6" t="s">
        <v>24</v>
      </c>
      <c r="G19" s="6" t="s">
        <v>31</v>
      </c>
      <c r="H19" s="6" t="s">
        <v>24</v>
      </c>
      <c r="L19" s="6" t="s">
        <v>21</v>
      </c>
      <c r="M19" s="6" t="s">
        <v>16</v>
      </c>
      <c r="N19" s="6" t="s">
        <v>16</v>
      </c>
      <c r="O19" s="6" t="s">
        <v>16</v>
      </c>
    </row>
    <row r="20" spans="1:15" ht="22.5" customHeight="1" x14ac:dyDescent="0.25">
      <c r="A20" s="4">
        <v>45983.296151666669</v>
      </c>
      <c r="B20" s="7" t="s">
        <v>35</v>
      </c>
      <c r="C20" s="6">
        <v>108</v>
      </c>
      <c r="D20" s="6" t="s">
        <v>15</v>
      </c>
      <c r="E20" s="6" t="s">
        <v>16</v>
      </c>
      <c r="F20" s="6" t="s">
        <v>24</v>
      </c>
      <c r="G20" s="6" t="s">
        <v>31</v>
      </c>
      <c r="H20" s="6" t="s">
        <v>24</v>
      </c>
      <c r="I20" s="6" t="s">
        <v>20</v>
      </c>
      <c r="L20" s="6" t="s">
        <v>21</v>
      </c>
      <c r="M20" s="6" t="s">
        <v>16</v>
      </c>
      <c r="N20" s="6" t="s">
        <v>16</v>
      </c>
      <c r="O20" s="6" t="s">
        <v>16</v>
      </c>
    </row>
    <row r="21" spans="1:15" ht="22.5" customHeight="1" x14ac:dyDescent="0.25">
      <c r="A21" s="4">
        <v>45982.836432696757</v>
      </c>
      <c r="B21" s="7" t="s">
        <v>36</v>
      </c>
      <c r="C21" s="6">
        <v>122</v>
      </c>
      <c r="D21" s="6" t="s">
        <v>37</v>
      </c>
      <c r="E21" s="6" t="s">
        <v>16</v>
      </c>
      <c r="F21" s="6" t="s">
        <v>24</v>
      </c>
      <c r="G21" s="6" t="s">
        <v>31</v>
      </c>
      <c r="H21" s="6" t="s">
        <v>24</v>
      </c>
      <c r="I21" s="6" t="s">
        <v>27</v>
      </c>
      <c r="J21" s="6" t="s">
        <v>38</v>
      </c>
      <c r="K21" s="6" t="s">
        <v>18</v>
      </c>
      <c r="L21" s="6" t="s">
        <v>21</v>
      </c>
      <c r="M21" s="6" t="s">
        <v>16</v>
      </c>
      <c r="N21" s="6" t="s">
        <v>16</v>
      </c>
      <c r="O21" s="6" t="s">
        <v>16</v>
      </c>
    </row>
    <row r="22" spans="1:15" ht="22.5" customHeight="1" x14ac:dyDescent="0.25">
      <c r="A22" s="4">
        <v>45983.759045104161</v>
      </c>
      <c r="B22" s="7" t="s">
        <v>39</v>
      </c>
      <c r="C22" s="6" t="s">
        <v>40</v>
      </c>
      <c r="D22" s="6" t="s">
        <v>41</v>
      </c>
      <c r="E22" s="6" t="s">
        <v>16</v>
      </c>
      <c r="F22" s="6" t="s">
        <v>24</v>
      </c>
      <c r="G22" s="6" t="s">
        <v>24</v>
      </c>
      <c r="H22" s="6" t="s">
        <v>42</v>
      </c>
      <c r="L22" s="6" t="s">
        <v>21</v>
      </c>
      <c r="M22" s="6" t="s">
        <v>21</v>
      </c>
      <c r="N22" s="6" t="s">
        <v>16</v>
      </c>
      <c r="O22" s="6" t="s">
        <v>16</v>
      </c>
    </row>
    <row r="23" spans="1:15" ht="22.5" customHeight="1" x14ac:dyDescent="0.25">
      <c r="A23" s="4">
        <v>45983.891142870372</v>
      </c>
      <c r="B23" s="7" t="s">
        <v>43</v>
      </c>
      <c r="C23" s="6">
        <v>116</v>
      </c>
      <c r="D23" s="6" t="s">
        <v>15</v>
      </c>
      <c r="E23" s="6" t="s">
        <v>16</v>
      </c>
      <c r="F23" s="6" t="s">
        <v>24</v>
      </c>
      <c r="G23" s="6" t="s">
        <v>31</v>
      </c>
      <c r="H23" s="6" t="s">
        <v>24</v>
      </c>
      <c r="L23" s="6" t="s">
        <v>21</v>
      </c>
      <c r="M23" s="6" t="s">
        <v>16</v>
      </c>
      <c r="N23" s="6" t="s">
        <v>16</v>
      </c>
      <c r="O23" s="6" t="s">
        <v>16</v>
      </c>
    </row>
    <row r="24" spans="1:15" ht="22.5" customHeight="1" x14ac:dyDescent="0.25">
      <c r="A24" s="4">
        <v>45982.704702835646</v>
      </c>
      <c r="B24" s="7" t="s">
        <v>44</v>
      </c>
      <c r="C24" s="3">
        <v>110</v>
      </c>
      <c r="D24" s="6" t="s">
        <v>15</v>
      </c>
      <c r="E24" s="6" t="s">
        <v>16</v>
      </c>
      <c r="F24" s="6" t="s">
        <v>24</v>
      </c>
      <c r="G24" s="6" t="s">
        <v>27</v>
      </c>
      <c r="H24" s="6" t="s">
        <v>24</v>
      </c>
      <c r="I24" s="6" t="s">
        <v>19</v>
      </c>
      <c r="L24" s="6" t="s">
        <v>21</v>
      </c>
      <c r="M24" s="6" t="s">
        <v>16</v>
      </c>
      <c r="N24" s="6" t="s">
        <v>16</v>
      </c>
      <c r="O24" s="6" t="s">
        <v>16</v>
      </c>
    </row>
    <row r="25" spans="1:15" ht="22.5" customHeight="1" x14ac:dyDescent="0.25">
      <c r="A25" s="4">
        <v>45982.806976354172</v>
      </c>
      <c r="B25" s="7" t="s">
        <v>45</v>
      </c>
      <c r="C25" s="6">
        <v>120</v>
      </c>
      <c r="D25" s="6" t="s">
        <v>46</v>
      </c>
      <c r="E25" s="6" t="s">
        <v>16</v>
      </c>
      <c r="F25" s="6" t="s">
        <v>24</v>
      </c>
      <c r="G25" s="6" t="s">
        <v>24</v>
      </c>
      <c r="H25" s="6" t="s">
        <v>19</v>
      </c>
      <c r="I25" s="6" t="s">
        <v>25</v>
      </c>
      <c r="L25" s="6" t="s">
        <v>21</v>
      </c>
      <c r="M25" s="6" t="s">
        <v>16</v>
      </c>
      <c r="N25" s="6" t="s">
        <v>16</v>
      </c>
      <c r="O25" s="6" t="s">
        <v>16</v>
      </c>
    </row>
    <row r="26" spans="1:15" ht="22.5" customHeight="1" x14ac:dyDescent="0.25">
      <c r="A26" s="4">
        <v>45983.741609155091</v>
      </c>
      <c r="B26" s="7" t="s">
        <v>47</v>
      </c>
      <c r="C26" s="6">
        <v>119</v>
      </c>
      <c r="D26" s="6" t="s">
        <v>15</v>
      </c>
      <c r="E26" s="6" t="s">
        <v>16</v>
      </c>
      <c r="F26" s="6" t="s">
        <v>24</v>
      </c>
      <c r="G26" s="6" t="s">
        <v>24</v>
      </c>
      <c r="L26" s="6" t="s">
        <v>21</v>
      </c>
      <c r="M26" s="6" t="s">
        <v>21</v>
      </c>
      <c r="N26" s="6" t="s">
        <v>21</v>
      </c>
      <c r="O26" s="6" t="s">
        <v>16</v>
      </c>
    </row>
    <row r="27" spans="1:15" ht="22.5" customHeight="1" x14ac:dyDescent="0.25">
      <c r="A27" s="4">
        <v>45984.956655844908</v>
      </c>
      <c r="B27" s="7" t="s">
        <v>48</v>
      </c>
      <c r="C27" s="6">
        <v>112</v>
      </c>
      <c r="D27" s="6" t="s">
        <v>15</v>
      </c>
      <c r="E27" s="6" t="s">
        <v>16</v>
      </c>
      <c r="F27" s="6" t="s">
        <v>24</v>
      </c>
      <c r="G27" s="6" t="s">
        <v>24</v>
      </c>
      <c r="H27" s="6" t="s">
        <v>19</v>
      </c>
      <c r="I27" s="6" t="s">
        <v>20</v>
      </c>
      <c r="L27" s="6" t="s">
        <v>21</v>
      </c>
      <c r="M27" s="6" t="s">
        <v>16</v>
      </c>
      <c r="N27" s="6" t="s">
        <v>16</v>
      </c>
      <c r="O27" s="6" t="s">
        <v>16</v>
      </c>
    </row>
    <row r="28" spans="1:15" ht="22.5" customHeight="1" x14ac:dyDescent="0.25">
      <c r="A28" s="4">
        <v>45982.766679699074</v>
      </c>
      <c r="B28" s="7" t="s">
        <v>49</v>
      </c>
      <c r="C28" s="3">
        <v>119</v>
      </c>
      <c r="D28" s="6" t="s">
        <v>15</v>
      </c>
      <c r="E28" s="6" t="s">
        <v>16</v>
      </c>
      <c r="F28" s="6" t="s">
        <v>24</v>
      </c>
      <c r="G28" s="6" t="s">
        <v>24</v>
      </c>
      <c r="H28" s="6" t="s">
        <v>19</v>
      </c>
      <c r="I28" s="6" t="s">
        <v>20</v>
      </c>
      <c r="L28" s="6" t="s">
        <v>21</v>
      </c>
      <c r="M28" s="6" t="s">
        <v>21</v>
      </c>
      <c r="N28" s="6" t="s">
        <v>16</v>
      </c>
      <c r="O28" s="6" t="s">
        <v>16</v>
      </c>
    </row>
    <row r="29" spans="1:15" ht="22.5" customHeight="1" x14ac:dyDescent="0.25">
      <c r="A29" s="4">
        <v>45982.780008541667</v>
      </c>
      <c r="B29" s="7" t="s">
        <v>50</v>
      </c>
      <c r="C29" s="6">
        <v>122</v>
      </c>
      <c r="D29" s="6" t="s">
        <v>15</v>
      </c>
      <c r="E29" s="6" t="s">
        <v>16</v>
      </c>
      <c r="F29" s="6" t="s">
        <v>24</v>
      </c>
      <c r="G29" s="6" t="s">
        <v>24</v>
      </c>
      <c r="H29" s="6" t="s">
        <v>19</v>
      </c>
      <c r="I29" s="6" t="s">
        <v>18</v>
      </c>
      <c r="J29" s="6" t="s">
        <v>26</v>
      </c>
      <c r="K29" s="6" t="s">
        <v>25</v>
      </c>
      <c r="L29" s="6" t="s">
        <v>21</v>
      </c>
      <c r="M29" s="6" t="s">
        <v>16</v>
      </c>
      <c r="N29" s="6" t="s">
        <v>16</v>
      </c>
      <c r="O29" s="6" t="s">
        <v>16</v>
      </c>
    </row>
    <row r="30" spans="1:15" ht="22.5" customHeight="1" x14ac:dyDescent="0.25">
      <c r="A30" s="4">
        <v>45982.688120208331</v>
      </c>
      <c r="B30" s="5" t="s">
        <v>51</v>
      </c>
      <c r="C30" s="3">
        <v>119</v>
      </c>
      <c r="D30" s="6" t="s">
        <v>15</v>
      </c>
      <c r="E30" s="6" t="s">
        <v>16</v>
      </c>
      <c r="F30" s="6" t="s">
        <v>24</v>
      </c>
      <c r="G30" s="6" t="s">
        <v>24</v>
      </c>
      <c r="H30" s="6" t="s">
        <v>31</v>
      </c>
      <c r="I30" s="6" t="s">
        <v>19</v>
      </c>
      <c r="J30" s="6"/>
      <c r="K30" s="6"/>
      <c r="L30" s="6" t="s">
        <v>21</v>
      </c>
      <c r="M30" s="6" t="s">
        <v>16</v>
      </c>
      <c r="N30" s="6" t="s">
        <v>16</v>
      </c>
      <c r="O30" s="6" t="s">
        <v>16</v>
      </c>
    </row>
    <row r="31" spans="1:15" ht="22.5" customHeight="1" x14ac:dyDescent="0.25">
      <c r="A31" s="4">
        <v>45982.700658576388</v>
      </c>
      <c r="B31" s="7" t="s">
        <v>52</v>
      </c>
      <c r="C31" s="3">
        <v>125</v>
      </c>
      <c r="D31" s="6" t="s">
        <v>37</v>
      </c>
      <c r="E31" s="6" t="s">
        <v>16</v>
      </c>
      <c r="F31" s="6" t="s">
        <v>24</v>
      </c>
      <c r="G31" s="6" t="s">
        <v>24</v>
      </c>
      <c r="H31" s="6" t="s">
        <v>31</v>
      </c>
      <c r="I31" s="6" t="s">
        <v>19</v>
      </c>
      <c r="L31" s="6" t="s">
        <v>21</v>
      </c>
      <c r="M31" s="6" t="s">
        <v>21</v>
      </c>
      <c r="N31" s="6" t="s">
        <v>16</v>
      </c>
      <c r="O31" s="6" t="s">
        <v>16</v>
      </c>
    </row>
    <row r="32" spans="1:15" ht="22.5" customHeight="1" x14ac:dyDescent="0.25">
      <c r="A32" s="4">
        <v>45982.689522187502</v>
      </c>
      <c r="B32" s="7" t="s">
        <v>53</v>
      </c>
      <c r="C32" s="3">
        <v>115</v>
      </c>
      <c r="D32" s="6" t="s">
        <v>15</v>
      </c>
      <c r="E32" s="6" t="s">
        <v>16</v>
      </c>
      <c r="F32" s="6" t="s">
        <v>24</v>
      </c>
      <c r="G32" s="6" t="s">
        <v>24</v>
      </c>
      <c r="H32" s="6" t="s">
        <v>31</v>
      </c>
      <c r="I32" s="6"/>
      <c r="J32" s="6"/>
      <c r="K32" s="6"/>
      <c r="L32" s="6" t="s">
        <v>21</v>
      </c>
      <c r="M32" s="6" t="s">
        <v>16</v>
      </c>
      <c r="N32" s="6" t="s">
        <v>16</v>
      </c>
      <c r="O32" s="6" t="s">
        <v>16</v>
      </c>
    </row>
    <row r="33" spans="1:15" ht="22.5" customHeight="1" x14ac:dyDescent="0.25">
      <c r="A33" s="4">
        <v>45983.05511400463</v>
      </c>
      <c r="B33" s="7" t="s">
        <v>54</v>
      </c>
      <c r="C33" s="6">
        <v>122</v>
      </c>
      <c r="D33" s="6" t="s">
        <v>41</v>
      </c>
      <c r="E33" s="6" t="s">
        <v>16</v>
      </c>
      <c r="F33" s="6" t="s">
        <v>24</v>
      </c>
      <c r="G33" s="6" t="s">
        <v>24</v>
      </c>
      <c r="H33" s="6" t="s">
        <v>31</v>
      </c>
      <c r="I33" s="6" t="s">
        <v>19</v>
      </c>
      <c r="L33" s="6" t="s">
        <v>16</v>
      </c>
      <c r="M33" s="6" t="s">
        <v>16</v>
      </c>
      <c r="N33" s="6" t="s">
        <v>16</v>
      </c>
      <c r="O33" s="6" t="s">
        <v>16</v>
      </c>
    </row>
    <row r="34" spans="1:15" ht="22.5" customHeight="1" x14ac:dyDescent="0.25">
      <c r="A34" s="4">
        <v>45985.51237232639</v>
      </c>
      <c r="B34" s="8" t="s">
        <v>55</v>
      </c>
      <c r="C34" s="6">
        <v>112</v>
      </c>
      <c r="D34" s="6" t="s">
        <v>15</v>
      </c>
      <c r="E34" s="6" t="s">
        <v>16</v>
      </c>
      <c r="F34" s="6" t="s">
        <v>24</v>
      </c>
      <c r="G34" s="6" t="s">
        <v>24</v>
      </c>
      <c r="H34" s="6" t="s">
        <v>19</v>
      </c>
      <c r="L34" s="6" t="s">
        <v>21</v>
      </c>
      <c r="M34" s="6" t="s">
        <v>21</v>
      </c>
      <c r="N34" s="6" t="s">
        <v>16</v>
      </c>
      <c r="O34" s="6" t="s">
        <v>16</v>
      </c>
    </row>
    <row r="35" spans="1:15" ht="22.5" customHeight="1" x14ac:dyDescent="0.25">
      <c r="A35" s="4">
        <v>45982.783139282408</v>
      </c>
      <c r="B35" s="5">
        <v>26</v>
      </c>
      <c r="C35" s="6">
        <v>111</v>
      </c>
      <c r="D35" s="6" t="s">
        <v>56</v>
      </c>
      <c r="E35" s="6" t="s">
        <v>16</v>
      </c>
      <c r="F35" s="6" t="s">
        <v>57</v>
      </c>
      <c r="G35" s="6" t="s">
        <v>57</v>
      </c>
      <c r="L35" s="6" t="s">
        <v>21</v>
      </c>
      <c r="M35" s="6" t="s">
        <v>16</v>
      </c>
      <c r="N35" s="6" t="s">
        <v>16</v>
      </c>
      <c r="O35" s="6" t="s">
        <v>16</v>
      </c>
    </row>
    <row r="36" spans="1:15" ht="22.5" customHeight="1" x14ac:dyDescent="0.25">
      <c r="A36" s="4">
        <v>45983.244694606481</v>
      </c>
      <c r="B36" s="5">
        <v>30.05</v>
      </c>
      <c r="C36" s="6">
        <v>119</v>
      </c>
      <c r="D36" s="6" t="s">
        <v>58</v>
      </c>
      <c r="E36" s="6" t="s">
        <v>16</v>
      </c>
      <c r="F36" s="6" t="s">
        <v>57</v>
      </c>
      <c r="G36" s="6" t="s">
        <v>57</v>
      </c>
      <c r="L36" s="6" t="s">
        <v>16</v>
      </c>
      <c r="M36" s="6" t="s">
        <v>16</v>
      </c>
      <c r="N36" s="6" t="s">
        <v>21</v>
      </c>
      <c r="O36" s="6" t="s">
        <v>16</v>
      </c>
    </row>
    <row r="37" spans="1:15" ht="22.5" customHeight="1" x14ac:dyDescent="0.25">
      <c r="A37" s="4">
        <v>45982.75397351852</v>
      </c>
      <c r="B37" s="7" t="s">
        <v>59</v>
      </c>
      <c r="C37" s="3" t="s">
        <v>60</v>
      </c>
      <c r="D37" s="6" t="s">
        <v>58</v>
      </c>
      <c r="E37" s="6" t="s">
        <v>16</v>
      </c>
      <c r="F37" s="6" t="s">
        <v>57</v>
      </c>
      <c r="G37" s="6" t="s">
        <v>57</v>
      </c>
      <c r="H37" s="6" t="s">
        <v>20</v>
      </c>
      <c r="L37" s="6" t="s">
        <v>16</v>
      </c>
      <c r="M37" s="6" t="s">
        <v>16</v>
      </c>
      <c r="N37" s="6" t="s">
        <v>16</v>
      </c>
      <c r="O37" s="6" t="s">
        <v>16</v>
      </c>
    </row>
    <row r="38" spans="1:15" ht="22.5" customHeight="1" x14ac:dyDescent="0.25">
      <c r="A38" s="4">
        <v>45982.701238888891</v>
      </c>
      <c r="B38" s="5">
        <v>27.71</v>
      </c>
      <c r="C38" s="3">
        <v>119</v>
      </c>
      <c r="D38" s="6" t="s">
        <v>15</v>
      </c>
      <c r="E38" s="6" t="s">
        <v>16</v>
      </c>
      <c r="F38" s="6" t="s">
        <v>61</v>
      </c>
      <c r="G38" s="6" t="s">
        <v>27</v>
      </c>
      <c r="H38" s="6" t="s">
        <v>62</v>
      </c>
      <c r="I38" s="6" t="s">
        <v>19</v>
      </c>
      <c r="J38" s="6" t="s">
        <v>24</v>
      </c>
      <c r="L38" s="6" t="s">
        <v>21</v>
      </c>
      <c r="M38" s="6" t="s">
        <v>16</v>
      </c>
      <c r="N38" s="6" t="s">
        <v>16</v>
      </c>
      <c r="O38" s="6" t="s">
        <v>16</v>
      </c>
    </row>
    <row r="39" spans="1:15" ht="22.5" customHeight="1" x14ac:dyDescent="0.25">
      <c r="A39" s="4">
        <v>45982.798131365736</v>
      </c>
      <c r="B39" s="7" t="s">
        <v>63</v>
      </c>
      <c r="C39" s="6">
        <v>120</v>
      </c>
      <c r="D39" s="6" t="s">
        <v>37</v>
      </c>
      <c r="E39" s="6" t="s">
        <v>16</v>
      </c>
      <c r="F39" s="6" t="s">
        <v>61</v>
      </c>
      <c r="G39" s="6" t="s">
        <v>64</v>
      </c>
      <c r="H39" s="6" t="s">
        <v>62</v>
      </c>
      <c r="I39" s="6" t="s">
        <v>18</v>
      </c>
      <c r="J39" s="6" t="s">
        <v>42</v>
      </c>
      <c r="K39" s="6" t="s">
        <v>29</v>
      </c>
      <c r="L39" s="6" t="s">
        <v>21</v>
      </c>
      <c r="M39" s="6" t="s">
        <v>21</v>
      </c>
      <c r="N39" s="6" t="s">
        <v>16</v>
      </c>
      <c r="O39" s="6" t="s">
        <v>16</v>
      </c>
    </row>
    <row r="40" spans="1:15" ht="22.5" customHeight="1" x14ac:dyDescent="0.25">
      <c r="A40" s="4">
        <v>45982.748342210645</v>
      </c>
      <c r="B40" s="7" t="s">
        <v>65</v>
      </c>
      <c r="C40" s="3">
        <v>104</v>
      </c>
      <c r="D40" s="6" t="s">
        <v>15</v>
      </c>
      <c r="E40" s="6" t="s">
        <v>16</v>
      </c>
      <c r="F40" s="6" t="s">
        <v>61</v>
      </c>
      <c r="G40" s="6" t="s">
        <v>27</v>
      </c>
      <c r="H40" s="6" t="s">
        <v>64</v>
      </c>
      <c r="I40" s="6" t="s">
        <v>62</v>
      </c>
      <c r="J40" s="6" t="s">
        <v>24</v>
      </c>
      <c r="K40" s="6" t="s">
        <v>19</v>
      </c>
      <c r="L40" s="6" t="s">
        <v>21</v>
      </c>
      <c r="M40" s="6" t="s">
        <v>21</v>
      </c>
      <c r="N40" s="6" t="s">
        <v>16</v>
      </c>
      <c r="O40" s="6" t="s">
        <v>16</v>
      </c>
    </row>
    <row r="41" spans="1:15" ht="22.5" customHeight="1" x14ac:dyDescent="0.25">
      <c r="A41" s="4">
        <v>45982.686838449074</v>
      </c>
      <c r="B41" s="5">
        <v>25.22</v>
      </c>
      <c r="C41" s="3">
        <v>111</v>
      </c>
      <c r="D41" s="6" t="s">
        <v>15</v>
      </c>
      <c r="E41" s="6" t="s">
        <v>16</v>
      </c>
      <c r="F41" s="6" t="s">
        <v>30</v>
      </c>
      <c r="G41" s="6" t="s">
        <v>24</v>
      </c>
      <c r="H41" s="6" t="s">
        <v>19</v>
      </c>
      <c r="I41" s="6" t="s">
        <v>18</v>
      </c>
      <c r="J41" s="6" t="s">
        <v>30</v>
      </c>
      <c r="K41" s="6"/>
      <c r="L41" s="6" t="s">
        <v>21</v>
      </c>
      <c r="M41" s="6" t="s">
        <v>21</v>
      </c>
      <c r="N41" s="6" t="s">
        <v>16</v>
      </c>
      <c r="O41" s="6" t="s">
        <v>16</v>
      </c>
    </row>
    <row r="42" spans="1:15" ht="22.5" customHeight="1" x14ac:dyDescent="0.25">
      <c r="A42" s="4">
        <v>45983.73259994213</v>
      </c>
      <c r="B42" s="7" t="s">
        <v>66</v>
      </c>
      <c r="C42" s="6">
        <v>109</v>
      </c>
      <c r="D42" s="6" t="s">
        <v>58</v>
      </c>
      <c r="E42" s="6" t="s">
        <v>16</v>
      </c>
      <c r="F42" s="6" t="s">
        <v>30</v>
      </c>
      <c r="G42" s="6" t="s">
        <v>30</v>
      </c>
      <c r="L42" s="6" t="s">
        <v>21</v>
      </c>
      <c r="M42" s="6" t="s">
        <v>16</v>
      </c>
      <c r="N42" s="6" t="s">
        <v>16</v>
      </c>
      <c r="O42" s="6" t="s">
        <v>16</v>
      </c>
    </row>
    <row r="43" spans="1:15" ht="22.5" customHeight="1" x14ac:dyDescent="0.25">
      <c r="A43" s="4">
        <v>45982.689664652775</v>
      </c>
      <c r="B43" s="7" t="s">
        <v>67</v>
      </c>
      <c r="C43" s="3" t="s">
        <v>68</v>
      </c>
      <c r="D43" s="6" t="s">
        <v>15</v>
      </c>
      <c r="E43" s="6" t="s">
        <v>16</v>
      </c>
      <c r="F43" s="6" t="s">
        <v>30</v>
      </c>
      <c r="G43" s="6" t="s">
        <v>18</v>
      </c>
      <c r="H43" s="6" t="s">
        <v>26</v>
      </c>
      <c r="I43" s="6"/>
      <c r="J43" s="6" t="s">
        <v>24</v>
      </c>
      <c r="K43" s="6" t="s">
        <v>30</v>
      </c>
      <c r="L43" s="6" t="s">
        <v>21</v>
      </c>
      <c r="M43" s="6" t="s">
        <v>16</v>
      </c>
      <c r="N43" s="6" t="s">
        <v>16</v>
      </c>
      <c r="O43" s="6" t="s">
        <v>16</v>
      </c>
    </row>
    <row r="44" spans="1:15" ht="22.5" customHeight="1" x14ac:dyDescent="0.25">
      <c r="A44" s="4">
        <v>45985.456986909718</v>
      </c>
      <c r="B44" s="6">
        <v>26.7</v>
      </c>
      <c r="C44" s="6">
        <v>117</v>
      </c>
      <c r="D44" s="6" t="s">
        <v>15</v>
      </c>
      <c r="E44" s="6" t="s">
        <v>16</v>
      </c>
      <c r="F44" s="6" t="s">
        <v>30</v>
      </c>
      <c r="G44" s="6" t="s">
        <v>31</v>
      </c>
      <c r="H44" s="6" t="s">
        <v>30</v>
      </c>
      <c r="I44" s="6" t="s">
        <v>24</v>
      </c>
      <c r="J44" s="6" t="s">
        <v>29</v>
      </c>
      <c r="K44" s="6" t="s">
        <v>18</v>
      </c>
      <c r="L44" s="6" t="s">
        <v>21</v>
      </c>
      <c r="M44" s="6" t="s">
        <v>16</v>
      </c>
      <c r="N44" s="6" t="s">
        <v>16</v>
      </c>
      <c r="O44" s="6" t="s">
        <v>16</v>
      </c>
    </row>
    <row r="45" spans="1:15" ht="22.5" customHeight="1" x14ac:dyDescent="0.25">
      <c r="A45" s="4">
        <v>45983.325990578705</v>
      </c>
      <c r="B45" s="7" t="s">
        <v>69</v>
      </c>
      <c r="C45" s="6">
        <v>116</v>
      </c>
      <c r="D45" s="6" t="s">
        <v>70</v>
      </c>
      <c r="E45" s="6" t="s">
        <v>16</v>
      </c>
      <c r="F45" s="6" t="s">
        <v>20</v>
      </c>
      <c r="G45" s="6" t="s">
        <v>20</v>
      </c>
      <c r="H45" s="6" t="s">
        <v>42</v>
      </c>
      <c r="L45" s="6" t="s">
        <v>21</v>
      </c>
      <c r="M45" s="6" t="s">
        <v>21</v>
      </c>
      <c r="N45" s="6" t="s">
        <v>16</v>
      </c>
      <c r="O45" s="6" t="s">
        <v>16</v>
      </c>
    </row>
    <row r="46" spans="1:15" ht="22.5" customHeight="1" x14ac:dyDescent="0.25">
      <c r="A46" s="4">
        <v>45982.775012268517</v>
      </c>
      <c r="B46" s="7" t="s">
        <v>71</v>
      </c>
      <c r="C46" s="6">
        <v>120</v>
      </c>
      <c r="D46" s="6" t="s">
        <v>58</v>
      </c>
      <c r="E46" s="6" t="s">
        <v>16</v>
      </c>
      <c r="F46" s="6" t="s">
        <v>20</v>
      </c>
      <c r="G46" s="6" t="s">
        <v>31</v>
      </c>
      <c r="H46" s="6" t="s">
        <v>20</v>
      </c>
      <c r="I46" s="6" t="s">
        <v>42</v>
      </c>
      <c r="J46" s="6" t="s">
        <v>24</v>
      </c>
      <c r="K46" s="6" t="s">
        <v>18</v>
      </c>
      <c r="L46" s="6" t="s">
        <v>21</v>
      </c>
      <c r="M46" s="6" t="s">
        <v>16</v>
      </c>
      <c r="N46" s="6" t="s">
        <v>16</v>
      </c>
      <c r="O46" s="6" t="s">
        <v>16</v>
      </c>
    </row>
    <row r="47" spans="1:15" ht="22.5" customHeight="1" x14ac:dyDescent="0.25">
      <c r="A47" s="4">
        <v>45982.771156597228</v>
      </c>
      <c r="B47" s="7" t="s">
        <v>72</v>
      </c>
      <c r="C47" s="6">
        <v>113</v>
      </c>
      <c r="D47" s="6" t="s">
        <v>15</v>
      </c>
      <c r="E47" s="6" t="s">
        <v>16</v>
      </c>
      <c r="F47" s="6" t="s">
        <v>20</v>
      </c>
      <c r="G47" s="6" t="s">
        <v>20</v>
      </c>
      <c r="H47" s="6" t="s">
        <v>42</v>
      </c>
      <c r="I47" s="6" t="s">
        <v>30</v>
      </c>
      <c r="L47" s="6" t="s">
        <v>21</v>
      </c>
      <c r="M47" s="6" t="s">
        <v>21</v>
      </c>
      <c r="N47" s="6" t="s">
        <v>16</v>
      </c>
      <c r="O47" s="6" t="s">
        <v>16</v>
      </c>
    </row>
    <row r="48" spans="1:15" ht="22.5" customHeight="1" x14ac:dyDescent="0.25">
      <c r="A48" s="4">
        <v>45982.847286388889</v>
      </c>
      <c r="B48" s="7" t="s">
        <v>73</v>
      </c>
      <c r="C48" s="6">
        <v>109</v>
      </c>
      <c r="D48" s="6" t="s">
        <v>15</v>
      </c>
      <c r="E48" s="6" t="s">
        <v>16</v>
      </c>
      <c r="F48" s="6" t="s">
        <v>20</v>
      </c>
      <c r="G48" s="6" t="s">
        <v>20</v>
      </c>
      <c r="L48" s="6" t="s">
        <v>21</v>
      </c>
      <c r="M48" s="6" t="s">
        <v>21</v>
      </c>
      <c r="N48" s="6" t="s">
        <v>16</v>
      </c>
      <c r="O48" s="6" t="s">
        <v>16</v>
      </c>
    </row>
    <row r="49" spans="1:15" ht="22.5" customHeight="1" x14ac:dyDescent="0.25">
      <c r="A49" s="4">
        <v>45982.750270532408</v>
      </c>
      <c r="B49" s="5" t="s">
        <v>74</v>
      </c>
      <c r="C49" s="3">
        <v>116</v>
      </c>
      <c r="D49" s="6" t="s">
        <v>46</v>
      </c>
      <c r="E49" s="6" t="s">
        <v>16</v>
      </c>
      <c r="F49" s="6" t="s">
        <v>20</v>
      </c>
      <c r="G49" s="6" t="s">
        <v>20</v>
      </c>
      <c r="H49" s="6" t="s">
        <v>25</v>
      </c>
      <c r="I49" s="6" t="s">
        <v>17</v>
      </c>
      <c r="J49" s="6" t="s">
        <v>24</v>
      </c>
      <c r="L49" s="6" t="s">
        <v>21</v>
      </c>
      <c r="M49" s="6" t="s">
        <v>21</v>
      </c>
      <c r="N49" s="6" t="s">
        <v>16</v>
      </c>
      <c r="O49" s="6" t="s">
        <v>16</v>
      </c>
    </row>
    <row r="50" spans="1:15" ht="22.5" customHeight="1" x14ac:dyDescent="0.25">
      <c r="A50" s="4">
        <v>45982.86497303241</v>
      </c>
      <c r="B50" s="5" t="s">
        <v>75</v>
      </c>
      <c r="C50" s="6">
        <v>118</v>
      </c>
      <c r="D50" s="6" t="s">
        <v>37</v>
      </c>
      <c r="E50" s="6" t="s">
        <v>16</v>
      </c>
      <c r="F50" s="6" t="s">
        <v>20</v>
      </c>
      <c r="G50" s="6" t="s">
        <v>20</v>
      </c>
      <c r="H50" s="6" t="s">
        <v>31</v>
      </c>
      <c r="I50" s="6" t="s">
        <v>24</v>
      </c>
      <c r="J50" s="6" t="s">
        <v>42</v>
      </c>
      <c r="K50" s="6" t="s">
        <v>26</v>
      </c>
      <c r="L50" s="6" t="s">
        <v>21</v>
      </c>
      <c r="M50" s="6" t="s">
        <v>21</v>
      </c>
      <c r="N50" s="6" t="s">
        <v>21</v>
      </c>
      <c r="O50" s="6" t="s">
        <v>16</v>
      </c>
    </row>
    <row r="51" spans="1:15" ht="22.5" customHeight="1" x14ac:dyDescent="0.25">
      <c r="A51" s="4">
        <v>45982.720200162032</v>
      </c>
      <c r="B51" s="5">
        <v>26.6</v>
      </c>
      <c r="C51" s="3">
        <v>118</v>
      </c>
      <c r="D51" s="6" t="s">
        <v>15</v>
      </c>
      <c r="E51" s="6" t="s">
        <v>16</v>
      </c>
      <c r="F51" s="6" t="s">
        <v>76</v>
      </c>
      <c r="G51" s="6" t="s">
        <v>24</v>
      </c>
      <c r="H51" s="6" t="s">
        <v>18</v>
      </c>
      <c r="L51" s="6" t="s">
        <v>21</v>
      </c>
      <c r="M51" s="6" t="s">
        <v>21</v>
      </c>
      <c r="N51" s="6" t="s">
        <v>16</v>
      </c>
      <c r="O51" s="6" t="s">
        <v>16</v>
      </c>
    </row>
    <row r="52" spans="1:15" ht="22.5" customHeight="1" x14ac:dyDescent="0.25">
      <c r="A52" s="4">
        <v>45982.746673067129</v>
      </c>
      <c r="B52" s="5">
        <v>28.03</v>
      </c>
      <c r="C52" s="3">
        <v>125</v>
      </c>
      <c r="D52" s="6" t="s">
        <v>15</v>
      </c>
      <c r="E52" s="6" t="s">
        <v>16</v>
      </c>
      <c r="F52" s="6" t="s">
        <v>76</v>
      </c>
      <c r="G52" s="6" t="s">
        <v>18</v>
      </c>
      <c r="H52" s="6" t="s">
        <v>19</v>
      </c>
      <c r="L52" s="6" t="s">
        <v>21</v>
      </c>
      <c r="M52" s="6" t="s">
        <v>21</v>
      </c>
      <c r="N52" s="6" t="s">
        <v>16</v>
      </c>
      <c r="O52" s="6" t="s">
        <v>16</v>
      </c>
    </row>
    <row r="53" spans="1:15" ht="22.5" customHeight="1" x14ac:dyDescent="0.25">
      <c r="A53" s="4">
        <v>45982.691247708339</v>
      </c>
      <c r="B53" s="7" t="s">
        <v>77</v>
      </c>
      <c r="C53" s="3">
        <v>100</v>
      </c>
      <c r="D53" s="6" t="s">
        <v>15</v>
      </c>
      <c r="E53" s="6" t="s">
        <v>16</v>
      </c>
      <c r="F53" s="6" t="s">
        <v>76</v>
      </c>
      <c r="G53" s="6" t="s">
        <v>24</v>
      </c>
      <c r="H53" s="6" t="s">
        <v>26</v>
      </c>
      <c r="I53" s="6" t="s">
        <v>18</v>
      </c>
      <c r="J53" s="6" t="s">
        <v>19</v>
      </c>
      <c r="K53" s="6"/>
      <c r="L53" s="6" t="s">
        <v>21</v>
      </c>
      <c r="M53" s="6" t="s">
        <v>21</v>
      </c>
      <c r="N53" s="6" t="s">
        <v>16</v>
      </c>
      <c r="O53" s="6" t="s">
        <v>16</v>
      </c>
    </row>
    <row r="54" spans="1:15" ht="22.5" customHeight="1" x14ac:dyDescent="0.25">
      <c r="A54" s="4">
        <v>45982.696769861112</v>
      </c>
      <c r="B54" s="7" t="s">
        <v>78</v>
      </c>
      <c r="C54" s="3">
        <v>109</v>
      </c>
      <c r="D54" s="6" t="s">
        <v>15</v>
      </c>
      <c r="E54" s="6" t="s">
        <v>16</v>
      </c>
      <c r="F54" s="6" t="s">
        <v>76</v>
      </c>
      <c r="G54" s="6" t="s">
        <v>19</v>
      </c>
      <c r="H54" s="6" t="s">
        <v>18</v>
      </c>
      <c r="L54" s="6" t="s">
        <v>21</v>
      </c>
      <c r="M54" s="6" t="s">
        <v>16</v>
      </c>
      <c r="N54" s="6" t="s">
        <v>16</v>
      </c>
      <c r="O54" s="6" t="s">
        <v>16</v>
      </c>
    </row>
    <row r="55" spans="1:15" ht="22.5" customHeight="1" x14ac:dyDescent="0.25">
      <c r="A55" s="4">
        <v>45982.696590914347</v>
      </c>
      <c r="B55" s="7" t="s">
        <v>79</v>
      </c>
      <c r="C55" s="3">
        <v>103</v>
      </c>
      <c r="D55" s="6" t="s">
        <v>15</v>
      </c>
      <c r="E55" s="6" t="s">
        <v>16</v>
      </c>
      <c r="F55" s="6" t="s">
        <v>76</v>
      </c>
      <c r="G55" s="6" t="s">
        <v>27</v>
      </c>
      <c r="H55" s="6" t="s">
        <v>18</v>
      </c>
      <c r="L55" s="6" t="s">
        <v>21</v>
      </c>
      <c r="M55" s="6" t="s">
        <v>21</v>
      </c>
      <c r="N55" s="6" t="s">
        <v>16</v>
      </c>
      <c r="O55" s="6" t="s">
        <v>16</v>
      </c>
    </row>
    <row r="56" spans="1:15" ht="22.5" customHeight="1" x14ac:dyDescent="0.25">
      <c r="A56" s="4">
        <v>45982.694058611116</v>
      </c>
      <c r="B56" s="7" t="s">
        <v>80</v>
      </c>
      <c r="C56" s="3">
        <v>125</v>
      </c>
      <c r="D56" s="6" t="s">
        <v>15</v>
      </c>
      <c r="E56" s="6" t="s">
        <v>16</v>
      </c>
      <c r="F56" s="6" t="s">
        <v>76</v>
      </c>
      <c r="G56" s="6" t="s">
        <v>19</v>
      </c>
      <c r="H56" s="6" t="s">
        <v>24</v>
      </c>
      <c r="I56" s="6" t="s">
        <v>18</v>
      </c>
      <c r="J56" s="6" t="s">
        <v>25</v>
      </c>
      <c r="L56" s="6" t="s">
        <v>21</v>
      </c>
      <c r="M56" s="6" t="s">
        <v>16</v>
      </c>
      <c r="N56" s="6" t="s">
        <v>16</v>
      </c>
      <c r="O56" s="6" t="s">
        <v>16</v>
      </c>
    </row>
    <row r="57" spans="1:15" ht="22.5" customHeight="1" x14ac:dyDescent="0.25">
      <c r="A57" s="4">
        <v>45983.545169699079</v>
      </c>
      <c r="B57" s="7" t="s">
        <v>81</v>
      </c>
      <c r="C57" s="6">
        <v>103</v>
      </c>
      <c r="D57" s="6" t="s">
        <v>15</v>
      </c>
      <c r="E57" s="6" t="s">
        <v>16</v>
      </c>
      <c r="F57" s="6" t="s">
        <v>76</v>
      </c>
      <c r="G57" s="6" t="s">
        <v>18</v>
      </c>
      <c r="H57" s="6" t="s">
        <v>19</v>
      </c>
      <c r="I57" s="6" t="s">
        <v>25</v>
      </c>
      <c r="J57" s="6" t="s">
        <v>30</v>
      </c>
      <c r="K57" s="6" t="s">
        <v>29</v>
      </c>
      <c r="L57" s="6" t="s">
        <v>21</v>
      </c>
      <c r="M57" s="6" t="s">
        <v>21</v>
      </c>
      <c r="N57" s="6" t="s">
        <v>16</v>
      </c>
      <c r="O57" s="6" t="s">
        <v>16</v>
      </c>
    </row>
    <row r="58" spans="1:15" ht="22.5" customHeight="1" x14ac:dyDescent="0.25">
      <c r="A58" s="4">
        <v>45982.699182418983</v>
      </c>
      <c r="B58" s="7" t="s">
        <v>82</v>
      </c>
      <c r="C58" s="3">
        <v>97</v>
      </c>
      <c r="D58" s="6" t="s">
        <v>37</v>
      </c>
      <c r="E58" s="6" t="s">
        <v>16</v>
      </c>
      <c r="F58" s="6" t="s">
        <v>76</v>
      </c>
      <c r="G58" s="6" t="s">
        <v>31</v>
      </c>
      <c r="H58" s="6" t="s">
        <v>24</v>
      </c>
      <c r="I58" s="6" t="s">
        <v>19</v>
      </c>
      <c r="J58" s="6" t="s">
        <v>18</v>
      </c>
      <c r="K58" s="6" t="s">
        <v>42</v>
      </c>
      <c r="L58" s="6" t="s">
        <v>21</v>
      </c>
      <c r="M58" s="6" t="s">
        <v>16</v>
      </c>
      <c r="N58" s="6" t="s">
        <v>16</v>
      </c>
      <c r="O58" s="6" t="s">
        <v>16</v>
      </c>
    </row>
    <row r="59" spans="1:15" ht="22.5" customHeight="1" x14ac:dyDescent="0.25">
      <c r="A59" s="4">
        <v>45982.704745497686</v>
      </c>
      <c r="B59" s="5" t="s">
        <v>83</v>
      </c>
      <c r="C59" s="3">
        <v>105</v>
      </c>
      <c r="D59" s="6" t="s">
        <v>37</v>
      </c>
      <c r="E59" s="6" t="s">
        <v>16</v>
      </c>
      <c r="F59" s="6" t="s">
        <v>76</v>
      </c>
      <c r="G59" s="6" t="s">
        <v>19</v>
      </c>
      <c r="H59" s="6" t="s">
        <v>18</v>
      </c>
      <c r="L59" s="6" t="s">
        <v>21</v>
      </c>
      <c r="M59" s="6" t="s">
        <v>21</v>
      </c>
      <c r="N59" s="6" t="s">
        <v>21</v>
      </c>
      <c r="O59" s="6" t="s">
        <v>16</v>
      </c>
    </row>
    <row r="60" spans="1:15" ht="22.5" customHeight="1" x14ac:dyDescent="0.25">
      <c r="A60" s="4">
        <v>45982.729585682871</v>
      </c>
      <c r="B60" s="7" t="s">
        <v>84</v>
      </c>
      <c r="C60" s="3">
        <v>119</v>
      </c>
      <c r="D60" s="6" t="s">
        <v>15</v>
      </c>
      <c r="E60" s="6" t="s">
        <v>16</v>
      </c>
      <c r="F60" s="6" t="s">
        <v>76</v>
      </c>
      <c r="G60" s="6" t="s">
        <v>18</v>
      </c>
      <c r="H60" s="6" t="s">
        <v>19</v>
      </c>
      <c r="I60" s="6" t="s">
        <v>24</v>
      </c>
      <c r="J60" s="6" t="s">
        <v>25</v>
      </c>
      <c r="L60" s="6" t="s">
        <v>21</v>
      </c>
      <c r="M60" s="6" t="s">
        <v>16</v>
      </c>
      <c r="N60" s="6" t="s">
        <v>16</v>
      </c>
      <c r="O60" s="6" t="s">
        <v>16</v>
      </c>
    </row>
    <row r="61" spans="1:15" ht="22.5" customHeight="1" x14ac:dyDescent="0.25">
      <c r="A61" s="4">
        <v>45982.700794108794</v>
      </c>
      <c r="B61" s="7" t="s">
        <v>85</v>
      </c>
      <c r="C61" s="3">
        <v>115</v>
      </c>
      <c r="D61" s="6" t="s">
        <v>15</v>
      </c>
      <c r="E61" s="6" t="s">
        <v>16</v>
      </c>
      <c r="F61" s="6" t="s">
        <v>76</v>
      </c>
      <c r="G61" s="6" t="s">
        <v>18</v>
      </c>
      <c r="H61" s="6" t="s">
        <v>24</v>
      </c>
      <c r="L61" s="6" t="s">
        <v>21</v>
      </c>
      <c r="M61" s="6" t="s">
        <v>21</v>
      </c>
      <c r="N61" s="6" t="s">
        <v>16</v>
      </c>
      <c r="O61" s="6" t="s">
        <v>16</v>
      </c>
    </row>
    <row r="62" spans="1:15" ht="22.5" customHeight="1" x14ac:dyDescent="0.25">
      <c r="A62" s="4">
        <v>45985.489366944443</v>
      </c>
      <c r="B62" s="6" t="s">
        <v>83</v>
      </c>
      <c r="C62" s="6">
        <v>129</v>
      </c>
      <c r="D62" s="6" t="s">
        <v>15</v>
      </c>
      <c r="E62" s="6" t="s">
        <v>16</v>
      </c>
      <c r="F62" s="6" t="s">
        <v>76</v>
      </c>
      <c r="G62" s="6" t="s">
        <v>19</v>
      </c>
      <c r="H62" s="6" t="s">
        <v>18</v>
      </c>
      <c r="L62" s="6" t="s">
        <v>21</v>
      </c>
      <c r="M62" s="6" t="s">
        <v>21</v>
      </c>
      <c r="N62" s="6" t="s">
        <v>16</v>
      </c>
      <c r="O62" s="6" t="s">
        <v>16</v>
      </c>
    </row>
    <row r="63" spans="1:15" ht="22.5" customHeight="1" x14ac:dyDescent="0.25">
      <c r="A63" s="4">
        <v>45982.691107314815</v>
      </c>
      <c r="B63" s="5">
        <v>26.9</v>
      </c>
      <c r="C63" s="3">
        <v>119</v>
      </c>
      <c r="D63" s="6" t="s">
        <v>41</v>
      </c>
      <c r="E63" s="6" t="s">
        <v>16</v>
      </c>
      <c r="F63" s="6" t="s">
        <v>42</v>
      </c>
      <c r="G63" s="6" t="s">
        <v>31</v>
      </c>
      <c r="H63" s="6" t="s">
        <v>24</v>
      </c>
      <c r="I63" s="6" t="s">
        <v>42</v>
      </c>
      <c r="J63" s="6" t="s">
        <v>19</v>
      </c>
      <c r="K63" s="6"/>
      <c r="L63" s="6" t="s">
        <v>21</v>
      </c>
      <c r="M63" s="6" t="s">
        <v>16</v>
      </c>
      <c r="N63" s="6" t="s">
        <v>16</v>
      </c>
      <c r="O63" s="6" t="s">
        <v>16</v>
      </c>
    </row>
    <row r="64" spans="1:15" ht="22.5" customHeight="1" x14ac:dyDescent="0.25">
      <c r="A64" s="4">
        <v>45982.796682916669</v>
      </c>
      <c r="B64" s="5">
        <v>29.984999999999999</v>
      </c>
      <c r="C64" s="6">
        <v>126</v>
      </c>
      <c r="D64" s="6" t="s">
        <v>86</v>
      </c>
      <c r="E64" s="6" t="s">
        <v>16</v>
      </c>
      <c r="F64" s="6" t="s">
        <v>42</v>
      </c>
      <c r="G64" s="6" t="s">
        <v>42</v>
      </c>
      <c r="L64" s="6" t="s">
        <v>16</v>
      </c>
      <c r="M64" s="6" t="s">
        <v>21</v>
      </c>
      <c r="N64" s="6" t="s">
        <v>16</v>
      </c>
      <c r="O64" s="6" t="s">
        <v>16</v>
      </c>
    </row>
    <row r="65" spans="1:15" ht="22.5" customHeight="1" x14ac:dyDescent="0.25">
      <c r="A65" s="4">
        <v>45982.767326400462</v>
      </c>
      <c r="B65" s="7" t="s">
        <v>87</v>
      </c>
      <c r="C65" s="3">
        <v>113</v>
      </c>
      <c r="D65" s="6" t="s">
        <v>86</v>
      </c>
      <c r="E65" s="6" t="s">
        <v>16</v>
      </c>
      <c r="F65" s="6" t="s">
        <v>42</v>
      </c>
      <c r="G65" s="6" t="s">
        <v>42</v>
      </c>
      <c r="H65" s="6" t="s">
        <v>24</v>
      </c>
      <c r="I65" s="6" t="s">
        <v>27</v>
      </c>
      <c r="J65" s="6" t="s">
        <v>19</v>
      </c>
      <c r="L65" s="6" t="s">
        <v>21</v>
      </c>
      <c r="M65" s="6" t="s">
        <v>21</v>
      </c>
      <c r="N65" s="6" t="s">
        <v>16</v>
      </c>
      <c r="O65" s="6" t="s">
        <v>16</v>
      </c>
    </row>
    <row r="66" spans="1:15" ht="22.5" customHeight="1" x14ac:dyDescent="0.25">
      <c r="A66" s="4">
        <v>45982.787357349538</v>
      </c>
      <c r="B66" s="7" t="s">
        <v>88</v>
      </c>
      <c r="C66" s="6">
        <v>126</v>
      </c>
      <c r="D66" s="6" t="s">
        <v>86</v>
      </c>
      <c r="E66" s="6" t="s">
        <v>16</v>
      </c>
      <c r="F66" s="6" t="s">
        <v>42</v>
      </c>
      <c r="G66" s="6" t="s">
        <v>42</v>
      </c>
      <c r="H66" s="6" t="s">
        <v>57</v>
      </c>
      <c r="L66" s="6" t="s">
        <v>21</v>
      </c>
      <c r="M66" s="6" t="s">
        <v>16</v>
      </c>
      <c r="N66" s="6" t="s">
        <v>16</v>
      </c>
      <c r="O66" s="6" t="s">
        <v>16</v>
      </c>
    </row>
    <row r="67" spans="1:15" ht="22.5" customHeight="1" x14ac:dyDescent="0.25">
      <c r="A67" s="4">
        <v>45982.767507800927</v>
      </c>
      <c r="B67" s="7" t="s">
        <v>89</v>
      </c>
      <c r="C67" s="3">
        <v>133</v>
      </c>
      <c r="D67" s="6" t="s">
        <v>86</v>
      </c>
      <c r="E67" s="6" t="s">
        <v>16</v>
      </c>
      <c r="F67" s="6" t="s">
        <v>42</v>
      </c>
      <c r="G67" s="6" t="s">
        <v>42</v>
      </c>
      <c r="L67" s="6" t="s">
        <v>16</v>
      </c>
      <c r="M67" s="6" t="s">
        <v>16</v>
      </c>
      <c r="N67" s="6" t="s">
        <v>16</v>
      </c>
      <c r="O67" s="6" t="s">
        <v>16</v>
      </c>
    </row>
    <row r="68" spans="1:15" ht="22.5" customHeight="1" x14ac:dyDescent="0.25">
      <c r="A68" s="4">
        <v>45982.945707268518</v>
      </c>
      <c r="B68" s="7" t="s">
        <v>90</v>
      </c>
      <c r="C68" s="6">
        <v>123</v>
      </c>
      <c r="D68" s="6" t="s">
        <v>70</v>
      </c>
      <c r="E68" s="6" t="s">
        <v>16</v>
      </c>
      <c r="F68" s="6" t="s">
        <v>42</v>
      </c>
      <c r="G68" s="6" t="s">
        <v>42</v>
      </c>
      <c r="H68" s="6" t="s">
        <v>91</v>
      </c>
      <c r="L68" s="6" t="s">
        <v>16</v>
      </c>
      <c r="M68" s="6" t="s">
        <v>21</v>
      </c>
      <c r="N68" s="6" t="s">
        <v>16</v>
      </c>
      <c r="O68" s="6" t="s">
        <v>16</v>
      </c>
    </row>
    <row r="69" spans="1:15" ht="22.5" customHeight="1" x14ac:dyDescent="0.25">
      <c r="A69" s="4">
        <v>45982.921806307873</v>
      </c>
      <c r="B69" s="7" t="s">
        <v>92</v>
      </c>
      <c r="C69" s="6">
        <v>126</v>
      </c>
      <c r="D69" s="6" t="s">
        <v>86</v>
      </c>
      <c r="E69" s="6" t="s">
        <v>16</v>
      </c>
      <c r="F69" s="6" t="s">
        <v>42</v>
      </c>
      <c r="G69" s="6" t="s">
        <v>42</v>
      </c>
      <c r="L69" s="6" t="s">
        <v>16</v>
      </c>
      <c r="M69" s="6" t="s">
        <v>16</v>
      </c>
      <c r="N69" s="6" t="s">
        <v>16</v>
      </c>
      <c r="O69" s="6" t="s">
        <v>16</v>
      </c>
    </row>
    <row r="70" spans="1:15" ht="22.5" customHeight="1" x14ac:dyDescent="0.25">
      <c r="A70" s="4">
        <v>45982.77214296296</v>
      </c>
      <c r="B70" s="5">
        <v>28.51</v>
      </c>
      <c r="C70" s="6">
        <v>125</v>
      </c>
      <c r="D70" s="6" t="s">
        <v>15</v>
      </c>
      <c r="E70" s="6" t="s">
        <v>16</v>
      </c>
      <c r="F70" s="6" t="s">
        <v>31</v>
      </c>
      <c r="G70" s="6" t="s">
        <v>31</v>
      </c>
      <c r="H70" s="6" t="s">
        <v>24</v>
      </c>
      <c r="L70" s="6" t="s">
        <v>21</v>
      </c>
      <c r="M70" s="6" t="s">
        <v>16</v>
      </c>
      <c r="N70" s="6" t="s">
        <v>16</v>
      </c>
      <c r="O70" s="6" t="s">
        <v>16</v>
      </c>
    </row>
    <row r="71" spans="1:15" ht="22.5" customHeight="1" x14ac:dyDescent="0.25">
      <c r="A71" s="4">
        <v>45982.700057199079</v>
      </c>
      <c r="B71" s="5">
        <v>28.83</v>
      </c>
      <c r="C71" s="3">
        <v>115</v>
      </c>
      <c r="D71" s="6" t="s">
        <v>15</v>
      </c>
      <c r="E71" s="6" t="s">
        <v>16</v>
      </c>
      <c r="F71" s="6" t="s">
        <v>31</v>
      </c>
      <c r="G71" s="6" t="s">
        <v>31</v>
      </c>
      <c r="H71" s="6" t="s">
        <v>24</v>
      </c>
      <c r="I71" s="6" t="s">
        <v>27</v>
      </c>
      <c r="L71" s="6" t="s">
        <v>21</v>
      </c>
      <c r="M71" s="6" t="s">
        <v>16</v>
      </c>
      <c r="N71" s="6" t="s">
        <v>16</v>
      </c>
      <c r="O71" s="6" t="s">
        <v>16</v>
      </c>
    </row>
    <row r="72" spans="1:15" ht="22.5" customHeight="1" x14ac:dyDescent="0.25">
      <c r="A72" s="4">
        <v>45982.729010578703</v>
      </c>
      <c r="B72" s="5">
        <v>29</v>
      </c>
      <c r="C72" s="3">
        <v>124</v>
      </c>
      <c r="D72" s="6" t="s">
        <v>15</v>
      </c>
      <c r="E72" s="6" t="s">
        <v>16</v>
      </c>
      <c r="F72" s="6" t="s">
        <v>31</v>
      </c>
      <c r="G72" s="6" t="s">
        <v>31</v>
      </c>
      <c r="H72" s="6" t="s">
        <v>24</v>
      </c>
      <c r="L72" s="6" t="s">
        <v>21</v>
      </c>
      <c r="M72" s="6" t="s">
        <v>16</v>
      </c>
      <c r="N72" s="6" t="s">
        <v>16</v>
      </c>
      <c r="O72" s="6" t="s">
        <v>16</v>
      </c>
    </row>
    <row r="73" spans="1:15" ht="22.5" customHeight="1" x14ac:dyDescent="0.25">
      <c r="A73" s="4">
        <v>45982.690549363426</v>
      </c>
      <c r="B73" s="5">
        <v>30.06</v>
      </c>
      <c r="C73" s="3">
        <v>116</v>
      </c>
      <c r="D73" s="6" t="s">
        <v>15</v>
      </c>
      <c r="E73" s="6" t="s">
        <v>16</v>
      </c>
      <c r="F73" s="6" t="s">
        <v>31</v>
      </c>
      <c r="G73" s="6" t="s">
        <v>31</v>
      </c>
      <c r="H73" s="6" t="s">
        <v>24</v>
      </c>
      <c r="I73" s="6"/>
      <c r="J73" s="6"/>
      <c r="K73" s="6"/>
      <c r="L73" s="6" t="s">
        <v>16</v>
      </c>
      <c r="M73" s="6" t="s">
        <v>21</v>
      </c>
      <c r="N73" s="6" t="s">
        <v>16</v>
      </c>
      <c r="O73" s="6" t="s">
        <v>16</v>
      </c>
    </row>
    <row r="74" spans="1:15" ht="22.5" customHeight="1" x14ac:dyDescent="0.25">
      <c r="A74" s="4">
        <v>45982.707581747687</v>
      </c>
      <c r="B74" s="7" t="s">
        <v>93</v>
      </c>
      <c r="C74" s="3">
        <v>118</v>
      </c>
      <c r="D74" s="6" t="s">
        <v>15</v>
      </c>
      <c r="E74" s="6" t="s">
        <v>16</v>
      </c>
      <c r="F74" s="6" t="s">
        <v>31</v>
      </c>
      <c r="G74" s="6" t="s">
        <v>31</v>
      </c>
      <c r="H74" s="6" t="s">
        <v>24</v>
      </c>
      <c r="I74" s="6" t="s">
        <v>20</v>
      </c>
      <c r="J74" s="6" t="s">
        <v>19</v>
      </c>
      <c r="L74" s="6" t="s">
        <v>21</v>
      </c>
      <c r="M74" s="6" t="s">
        <v>21</v>
      </c>
      <c r="N74" s="6" t="s">
        <v>21</v>
      </c>
      <c r="O74" s="6" t="s">
        <v>16</v>
      </c>
    </row>
    <row r="75" spans="1:15" ht="22.5" customHeight="1" x14ac:dyDescent="0.25">
      <c r="A75" s="4">
        <v>45982.796297511573</v>
      </c>
      <c r="B75" s="7" t="s">
        <v>94</v>
      </c>
      <c r="C75" s="6">
        <v>122</v>
      </c>
      <c r="D75" s="6" t="s">
        <v>23</v>
      </c>
      <c r="E75" s="6" t="s">
        <v>16</v>
      </c>
      <c r="F75" s="6" t="s">
        <v>31</v>
      </c>
      <c r="G75" s="6" t="s">
        <v>31</v>
      </c>
      <c r="H75" s="6" t="s">
        <v>64</v>
      </c>
      <c r="I75" s="6" t="s">
        <v>38</v>
      </c>
      <c r="J75" s="6" t="s">
        <v>19</v>
      </c>
      <c r="L75" s="6" t="s">
        <v>21</v>
      </c>
      <c r="M75" s="6" t="s">
        <v>16</v>
      </c>
      <c r="N75" s="6" t="s">
        <v>16</v>
      </c>
      <c r="O75" s="6" t="s">
        <v>16</v>
      </c>
    </row>
    <row r="76" spans="1:15" ht="22.5" customHeight="1" x14ac:dyDescent="0.25">
      <c r="A76" s="4">
        <v>45982.737961747684</v>
      </c>
      <c r="B76" s="7" t="s">
        <v>95</v>
      </c>
      <c r="C76" s="3">
        <v>118</v>
      </c>
      <c r="D76" s="6" t="s">
        <v>15</v>
      </c>
      <c r="E76" s="6" t="s">
        <v>16</v>
      </c>
      <c r="F76" s="6" t="s">
        <v>31</v>
      </c>
      <c r="G76" s="6" t="s">
        <v>31</v>
      </c>
      <c r="H76" s="6" t="s">
        <v>24</v>
      </c>
      <c r="I76" s="6" t="s">
        <v>20</v>
      </c>
      <c r="L76" s="6" t="s">
        <v>21</v>
      </c>
      <c r="M76" s="6" t="s">
        <v>16</v>
      </c>
      <c r="N76" s="6" t="s">
        <v>16</v>
      </c>
      <c r="O76" s="6" t="s">
        <v>16</v>
      </c>
    </row>
    <row r="77" spans="1:15" ht="22.5" customHeight="1" x14ac:dyDescent="0.25">
      <c r="A77" s="4">
        <v>45982.687800775464</v>
      </c>
      <c r="B77" s="7" t="s">
        <v>96</v>
      </c>
      <c r="C77" s="3">
        <v>109</v>
      </c>
      <c r="D77" s="6" t="s">
        <v>15</v>
      </c>
      <c r="E77" s="6" t="s">
        <v>16</v>
      </c>
      <c r="F77" s="6" t="s">
        <v>31</v>
      </c>
      <c r="G77" s="6" t="s">
        <v>31</v>
      </c>
      <c r="H77" s="6"/>
      <c r="I77" s="6"/>
      <c r="J77" s="6"/>
      <c r="K77" s="6"/>
      <c r="L77" s="6" t="s">
        <v>21</v>
      </c>
      <c r="M77" s="6" t="s">
        <v>16</v>
      </c>
      <c r="N77" s="6" t="s">
        <v>16</v>
      </c>
      <c r="O77" s="6" t="s">
        <v>16</v>
      </c>
    </row>
    <row r="78" spans="1:15" ht="22.5" customHeight="1" x14ac:dyDescent="0.25">
      <c r="A78" s="4">
        <v>45982.817526782412</v>
      </c>
      <c r="B78" s="7" t="s">
        <v>47</v>
      </c>
      <c r="C78" s="6">
        <v>100</v>
      </c>
      <c r="D78" s="6" t="s">
        <v>15</v>
      </c>
      <c r="E78" s="6" t="s">
        <v>16</v>
      </c>
      <c r="F78" s="6" t="s">
        <v>31</v>
      </c>
      <c r="G78" s="6" t="s">
        <v>31</v>
      </c>
      <c r="H78" s="6" t="s">
        <v>42</v>
      </c>
      <c r="I78" s="6" t="s">
        <v>24</v>
      </c>
      <c r="L78" s="6" t="s">
        <v>21</v>
      </c>
      <c r="M78" s="6" t="s">
        <v>16</v>
      </c>
      <c r="N78" s="6" t="s">
        <v>16</v>
      </c>
      <c r="O78" s="6" t="s">
        <v>16</v>
      </c>
    </row>
    <row r="79" spans="1:15" ht="22.5" customHeight="1" x14ac:dyDescent="0.25">
      <c r="A79" s="4">
        <v>45982.694520844903</v>
      </c>
      <c r="B79" s="7" t="s">
        <v>97</v>
      </c>
      <c r="C79" s="3">
        <v>116</v>
      </c>
      <c r="D79" s="6" t="s">
        <v>15</v>
      </c>
      <c r="E79" s="6" t="s">
        <v>16</v>
      </c>
      <c r="F79" s="6" t="s">
        <v>31</v>
      </c>
      <c r="G79" s="6" t="s">
        <v>31</v>
      </c>
      <c r="H79" s="6" t="s">
        <v>24</v>
      </c>
      <c r="L79" s="6" t="s">
        <v>21</v>
      </c>
      <c r="M79" s="6" t="s">
        <v>16</v>
      </c>
      <c r="N79" s="6" t="s">
        <v>16</v>
      </c>
      <c r="O79" s="6" t="s">
        <v>16</v>
      </c>
    </row>
    <row r="80" spans="1:15" ht="22.5" customHeight="1" x14ac:dyDescent="0.25">
      <c r="A80" s="4">
        <v>45982.752769444443</v>
      </c>
      <c r="B80" s="5" t="s">
        <v>75</v>
      </c>
      <c r="C80" s="3">
        <v>107</v>
      </c>
      <c r="D80" s="6" t="s">
        <v>56</v>
      </c>
      <c r="E80" s="6" t="s">
        <v>16</v>
      </c>
      <c r="F80" s="6" t="s">
        <v>31</v>
      </c>
      <c r="G80" s="6" t="s">
        <v>31</v>
      </c>
      <c r="H80" s="6" t="s">
        <v>57</v>
      </c>
      <c r="L80" s="6" t="s">
        <v>21</v>
      </c>
      <c r="M80" s="6" t="s">
        <v>16</v>
      </c>
      <c r="N80" s="6" t="s">
        <v>16</v>
      </c>
      <c r="O80" s="6" t="s">
        <v>16</v>
      </c>
    </row>
    <row r="81" spans="1:15" ht="22.5" customHeight="1" x14ac:dyDescent="0.25">
      <c r="A81" s="4">
        <v>45982.747222199076</v>
      </c>
      <c r="B81" s="7" t="s">
        <v>98</v>
      </c>
      <c r="C81" s="3">
        <v>120</v>
      </c>
      <c r="D81" s="6" t="s">
        <v>41</v>
      </c>
      <c r="E81" s="6" t="s">
        <v>16</v>
      </c>
      <c r="F81" s="6" t="s">
        <v>31</v>
      </c>
      <c r="G81" s="6" t="s">
        <v>31</v>
      </c>
      <c r="L81" s="6" t="s">
        <v>21</v>
      </c>
      <c r="M81" s="6" t="s">
        <v>21</v>
      </c>
      <c r="N81" s="6" t="s">
        <v>21</v>
      </c>
      <c r="O81" s="6" t="s">
        <v>16</v>
      </c>
    </row>
    <row r="82" spans="1:15" ht="22.5" customHeight="1" x14ac:dyDescent="0.25">
      <c r="A82" s="4">
        <v>45982.710295682875</v>
      </c>
      <c r="B82" s="7" t="s">
        <v>99</v>
      </c>
      <c r="C82" s="3">
        <v>111</v>
      </c>
      <c r="D82" s="6" t="s">
        <v>15</v>
      </c>
      <c r="E82" s="6" t="s">
        <v>16</v>
      </c>
      <c r="F82" s="6" t="s">
        <v>31</v>
      </c>
      <c r="G82" s="6" t="s">
        <v>31</v>
      </c>
      <c r="H82" s="6" t="s">
        <v>24</v>
      </c>
      <c r="I82" s="6" t="s">
        <v>19</v>
      </c>
      <c r="L82" s="6" t="s">
        <v>21</v>
      </c>
      <c r="M82" s="6" t="s">
        <v>21</v>
      </c>
      <c r="N82" s="6" t="s">
        <v>16</v>
      </c>
      <c r="O82" s="6" t="s">
        <v>16</v>
      </c>
    </row>
    <row r="83" spans="1:15" ht="22.5" customHeight="1" x14ac:dyDescent="0.25">
      <c r="A83" s="4">
        <v>45982.688074895836</v>
      </c>
      <c r="B83" s="7" t="s">
        <v>100</v>
      </c>
      <c r="C83" s="3">
        <v>115</v>
      </c>
      <c r="D83" s="6" t="s">
        <v>15</v>
      </c>
      <c r="E83" s="6" t="s">
        <v>16</v>
      </c>
      <c r="F83" s="6" t="s">
        <v>31</v>
      </c>
      <c r="G83" s="6" t="s">
        <v>31</v>
      </c>
      <c r="H83" s="6"/>
      <c r="I83" s="6"/>
      <c r="J83" s="6"/>
      <c r="K83" s="6"/>
      <c r="L83" s="6" t="s">
        <v>21</v>
      </c>
      <c r="M83" s="6" t="s">
        <v>16</v>
      </c>
      <c r="N83" s="6" t="s">
        <v>16</v>
      </c>
      <c r="O83" s="6" t="s">
        <v>16</v>
      </c>
    </row>
    <row r="84" spans="1:15" ht="22.5" customHeight="1" x14ac:dyDescent="0.25">
      <c r="A84" s="4">
        <v>45982.687448136574</v>
      </c>
      <c r="B84" s="7" t="s">
        <v>101</v>
      </c>
      <c r="C84" s="3">
        <v>126</v>
      </c>
      <c r="D84" s="6" t="s">
        <v>41</v>
      </c>
      <c r="E84" s="6" t="s">
        <v>16</v>
      </c>
      <c r="F84" s="6" t="s">
        <v>31</v>
      </c>
      <c r="G84" s="6" t="s">
        <v>31</v>
      </c>
      <c r="H84" s="6"/>
      <c r="I84" s="6"/>
      <c r="J84" s="6"/>
      <c r="K84" s="6"/>
      <c r="L84" s="6" t="s">
        <v>21</v>
      </c>
      <c r="M84" s="6" t="s">
        <v>16</v>
      </c>
      <c r="N84" s="6" t="s">
        <v>16</v>
      </c>
      <c r="O84" s="6" t="s">
        <v>16</v>
      </c>
    </row>
    <row r="85" spans="1:15" ht="22.5" customHeight="1" x14ac:dyDescent="0.25">
      <c r="A85" s="4">
        <v>45982.707599409725</v>
      </c>
      <c r="B85" s="5" t="s">
        <v>102</v>
      </c>
      <c r="C85" s="3">
        <v>114</v>
      </c>
      <c r="D85" s="6" t="s">
        <v>37</v>
      </c>
      <c r="E85" s="6" t="s">
        <v>16</v>
      </c>
      <c r="F85" s="6" t="s">
        <v>31</v>
      </c>
      <c r="G85" s="6" t="s">
        <v>31</v>
      </c>
      <c r="L85" s="6" t="s">
        <v>21</v>
      </c>
      <c r="M85" s="6" t="s">
        <v>16</v>
      </c>
      <c r="N85" s="6" t="s">
        <v>16</v>
      </c>
      <c r="O85" s="6" t="s">
        <v>16</v>
      </c>
    </row>
    <row r="86" spans="1:15" ht="22.5" customHeight="1" x14ac:dyDescent="0.25">
      <c r="A86" s="4">
        <v>45982.688181493053</v>
      </c>
      <c r="B86" s="5" t="s">
        <v>103</v>
      </c>
      <c r="C86" s="3">
        <v>122</v>
      </c>
      <c r="D86" s="6" t="s">
        <v>41</v>
      </c>
      <c r="E86" s="6" t="s">
        <v>16</v>
      </c>
      <c r="F86" s="6" t="s">
        <v>31</v>
      </c>
      <c r="G86" s="6" t="s">
        <v>31</v>
      </c>
      <c r="H86" s="6"/>
      <c r="I86" s="6"/>
      <c r="J86" s="6"/>
      <c r="K86" s="6"/>
      <c r="L86" s="6" t="s">
        <v>21</v>
      </c>
      <c r="M86" s="6" t="s">
        <v>16</v>
      </c>
      <c r="N86" s="6" t="s">
        <v>16</v>
      </c>
      <c r="O86" s="6" t="s">
        <v>16</v>
      </c>
    </row>
    <row r="87" spans="1:15" ht="22.5" customHeight="1" x14ac:dyDescent="0.25">
      <c r="A87" s="4">
        <v>45982.702251898147</v>
      </c>
      <c r="B87" s="7" t="s">
        <v>104</v>
      </c>
      <c r="C87" s="3">
        <v>121</v>
      </c>
      <c r="D87" s="6" t="s">
        <v>15</v>
      </c>
      <c r="E87" s="6" t="s">
        <v>16</v>
      </c>
      <c r="F87" s="6" t="s">
        <v>31</v>
      </c>
      <c r="G87" s="6" t="s">
        <v>31</v>
      </c>
      <c r="H87" s="6" t="s">
        <v>42</v>
      </c>
      <c r="L87" s="6" t="s">
        <v>21</v>
      </c>
      <c r="M87" s="6" t="s">
        <v>16</v>
      </c>
      <c r="N87" s="6" t="s">
        <v>16</v>
      </c>
      <c r="O87" s="6" t="s">
        <v>16</v>
      </c>
    </row>
    <row r="88" spans="1:15" ht="22.5" customHeight="1" x14ac:dyDescent="0.25">
      <c r="A88" s="4">
        <v>45982.905499479166</v>
      </c>
      <c r="B88" s="7" t="s">
        <v>105</v>
      </c>
      <c r="C88" s="6">
        <v>101</v>
      </c>
      <c r="D88" s="6" t="s">
        <v>37</v>
      </c>
      <c r="E88" s="6" t="s">
        <v>16</v>
      </c>
      <c r="F88" s="6" t="s">
        <v>31</v>
      </c>
      <c r="G88" s="6" t="s">
        <v>31</v>
      </c>
      <c r="L88" s="6" t="s">
        <v>21</v>
      </c>
      <c r="M88" s="6" t="s">
        <v>16</v>
      </c>
      <c r="N88" s="6" t="s">
        <v>16</v>
      </c>
      <c r="O88" s="6" t="s">
        <v>16</v>
      </c>
    </row>
    <row r="89" spans="1:15" ht="22.5" customHeight="1" x14ac:dyDescent="0.25">
      <c r="A89" s="4">
        <v>45982.768742928238</v>
      </c>
      <c r="B89" s="5" t="s">
        <v>106</v>
      </c>
      <c r="C89" s="3">
        <v>114</v>
      </c>
      <c r="D89" s="6" t="s">
        <v>107</v>
      </c>
      <c r="E89" s="6" t="s">
        <v>16</v>
      </c>
      <c r="F89" s="6" t="s">
        <v>31</v>
      </c>
      <c r="G89" s="6" t="s">
        <v>31</v>
      </c>
      <c r="H89" s="6" t="s">
        <v>42</v>
      </c>
      <c r="L89" s="6" t="s">
        <v>21</v>
      </c>
      <c r="M89" s="6" t="s">
        <v>16</v>
      </c>
      <c r="N89" s="6" t="s">
        <v>16</v>
      </c>
      <c r="O89" s="6" t="s">
        <v>16</v>
      </c>
    </row>
    <row r="90" spans="1:15" ht="22.5" customHeight="1" x14ac:dyDescent="0.25">
      <c r="A90" s="4">
        <v>45982.701751354165</v>
      </c>
      <c r="B90" s="7" t="s">
        <v>108</v>
      </c>
      <c r="C90" s="3">
        <v>121</v>
      </c>
      <c r="D90" s="6" t="s">
        <v>15</v>
      </c>
      <c r="E90" s="6" t="s">
        <v>16</v>
      </c>
      <c r="F90" s="6" t="s">
        <v>31</v>
      </c>
      <c r="G90" s="6" t="s">
        <v>31</v>
      </c>
      <c r="H90" s="6" t="s">
        <v>24</v>
      </c>
      <c r="L90" s="6" t="s">
        <v>21</v>
      </c>
      <c r="M90" s="6" t="s">
        <v>16</v>
      </c>
      <c r="N90" s="6" t="s">
        <v>16</v>
      </c>
      <c r="O90" s="6" t="s">
        <v>16</v>
      </c>
    </row>
    <row r="91" spans="1:15" ht="22.5" customHeight="1" x14ac:dyDescent="0.25">
      <c r="A91" s="4">
        <v>45982.777037430555</v>
      </c>
      <c r="B91" s="7" t="s">
        <v>109</v>
      </c>
      <c r="C91" s="6">
        <v>116</v>
      </c>
      <c r="D91" s="6" t="s">
        <v>41</v>
      </c>
      <c r="E91" s="6" t="s">
        <v>16</v>
      </c>
      <c r="F91" s="6" t="s">
        <v>31</v>
      </c>
      <c r="G91" s="6" t="s">
        <v>31</v>
      </c>
      <c r="L91" s="6" t="s">
        <v>21</v>
      </c>
      <c r="M91" s="6" t="s">
        <v>16</v>
      </c>
      <c r="N91" s="6" t="s">
        <v>16</v>
      </c>
      <c r="O91" s="6" t="s">
        <v>16</v>
      </c>
    </row>
    <row r="92" spans="1:15" ht="22.5" customHeight="1" x14ac:dyDescent="0.25">
      <c r="A92" s="4">
        <v>45982.896530671293</v>
      </c>
      <c r="B92" s="7" t="s">
        <v>110</v>
      </c>
      <c r="C92" s="6">
        <v>118</v>
      </c>
      <c r="D92" s="6" t="s">
        <v>46</v>
      </c>
      <c r="E92" s="6" t="s">
        <v>16</v>
      </c>
      <c r="F92" s="6" t="s">
        <v>31</v>
      </c>
      <c r="G92" s="6" t="s">
        <v>31</v>
      </c>
      <c r="H92" s="6" t="s">
        <v>24</v>
      </c>
      <c r="I92" s="6" t="s">
        <v>19</v>
      </c>
      <c r="L92" s="6" t="s">
        <v>21</v>
      </c>
      <c r="M92" s="6" t="s">
        <v>21</v>
      </c>
      <c r="N92" s="6" t="s">
        <v>16</v>
      </c>
      <c r="O92" s="6" t="s">
        <v>16</v>
      </c>
    </row>
    <row r="93" spans="1:15" ht="22.5" customHeight="1" x14ac:dyDescent="0.25">
      <c r="A93" s="4">
        <v>45982.70228409722</v>
      </c>
      <c r="B93" s="7" t="s">
        <v>111</v>
      </c>
      <c r="C93" s="3" t="s">
        <v>112</v>
      </c>
      <c r="D93" s="6" t="s">
        <v>86</v>
      </c>
      <c r="E93" s="6" t="s">
        <v>16</v>
      </c>
      <c r="F93" s="6" t="s">
        <v>31</v>
      </c>
      <c r="G93" s="6" t="s">
        <v>31</v>
      </c>
      <c r="H93" s="6" t="s">
        <v>64</v>
      </c>
      <c r="I93" s="6" t="s">
        <v>27</v>
      </c>
      <c r="L93" s="6" t="s">
        <v>16</v>
      </c>
      <c r="M93" s="6" t="s">
        <v>16</v>
      </c>
      <c r="N93" s="6" t="s">
        <v>16</v>
      </c>
      <c r="O93" s="6" t="s">
        <v>16</v>
      </c>
    </row>
    <row r="94" spans="1:15" ht="22.5" customHeight="1" x14ac:dyDescent="0.25">
      <c r="A94" s="4">
        <v>45982.694270914348</v>
      </c>
      <c r="B94" s="7" t="s">
        <v>113</v>
      </c>
      <c r="C94" s="3">
        <v>110</v>
      </c>
      <c r="D94" s="6" t="s">
        <v>15</v>
      </c>
      <c r="E94" s="6" t="s">
        <v>16</v>
      </c>
      <c r="F94" s="6" t="s">
        <v>31</v>
      </c>
      <c r="G94" s="6" t="s">
        <v>31</v>
      </c>
      <c r="H94" s="6" t="s">
        <v>24</v>
      </c>
      <c r="L94" s="6" t="s">
        <v>16</v>
      </c>
      <c r="M94" s="6" t="s">
        <v>16</v>
      </c>
      <c r="N94" s="6" t="s">
        <v>16</v>
      </c>
      <c r="O94" s="6" t="s">
        <v>16</v>
      </c>
    </row>
    <row r="95" spans="1:15" ht="22.5" customHeight="1" x14ac:dyDescent="0.25">
      <c r="A95" s="4">
        <v>45982.869473090279</v>
      </c>
      <c r="B95" s="7" t="s">
        <v>114</v>
      </c>
      <c r="C95" s="6">
        <v>120</v>
      </c>
      <c r="D95" s="6" t="s">
        <v>15</v>
      </c>
      <c r="E95" s="6" t="s">
        <v>16</v>
      </c>
      <c r="F95" s="6" t="s">
        <v>31</v>
      </c>
      <c r="G95" s="6" t="s">
        <v>31</v>
      </c>
      <c r="L95" s="6" t="s">
        <v>16</v>
      </c>
      <c r="M95" s="6" t="s">
        <v>16</v>
      </c>
      <c r="N95" s="6" t="s">
        <v>16</v>
      </c>
      <c r="O95" s="6" t="s">
        <v>16</v>
      </c>
    </row>
    <row r="96" spans="1:15" ht="22.5" customHeight="1" x14ac:dyDescent="0.25">
      <c r="A96" s="4">
        <v>45982.826388726855</v>
      </c>
      <c r="B96" s="7" t="s">
        <v>115</v>
      </c>
      <c r="C96" s="6">
        <v>121</v>
      </c>
      <c r="D96" s="6" t="s">
        <v>15</v>
      </c>
      <c r="E96" s="6" t="s">
        <v>16</v>
      </c>
      <c r="F96" s="6" t="s">
        <v>31</v>
      </c>
      <c r="G96" s="6" t="s">
        <v>31</v>
      </c>
      <c r="L96" s="6" t="s">
        <v>16</v>
      </c>
      <c r="M96" s="6" t="s">
        <v>21</v>
      </c>
      <c r="N96" s="6" t="s">
        <v>16</v>
      </c>
      <c r="O96" s="6" t="s">
        <v>16</v>
      </c>
    </row>
    <row r="97" spans="1:15" ht="22.5" customHeight="1" x14ac:dyDescent="0.25">
      <c r="A97" s="4">
        <v>45982.74150679398</v>
      </c>
      <c r="B97" s="7" t="s">
        <v>92</v>
      </c>
      <c r="C97" s="3">
        <v>116</v>
      </c>
      <c r="D97" s="6" t="s">
        <v>41</v>
      </c>
      <c r="E97" s="6" t="s">
        <v>16</v>
      </c>
      <c r="F97" s="6" t="s">
        <v>31</v>
      </c>
      <c r="G97" s="6" t="s">
        <v>31</v>
      </c>
      <c r="L97" s="6" t="s">
        <v>16</v>
      </c>
      <c r="M97" s="6" t="s">
        <v>16</v>
      </c>
      <c r="N97" s="6" t="s">
        <v>16</v>
      </c>
      <c r="O97" s="6" t="s">
        <v>16</v>
      </c>
    </row>
    <row r="98" spans="1:15" ht="22.5" customHeight="1" x14ac:dyDescent="0.25">
      <c r="A98" s="4">
        <v>45982.719309062501</v>
      </c>
      <c r="B98" s="5" t="s">
        <v>116</v>
      </c>
      <c r="C98" s="3">
        <v>121</v>
      </c>
      <c r="D98" s="6" t="s">
        <v>15</v>
      </c>
      <c r="E98" s="6" t="s">
        <v>16</v>
      </c>
      <c r="F98" s="6" t="s">
        <v>31</v>
      </c>
      <c r="G98" s="6" t="s">
        <v>31</v>
      </c>
      <c r="H98" s="6" t="s">
        <v>24</v>
      </c>
      <c r="L98" s="6" t="s">
        <v>16</v>
      </c>
      <c r="M98" s="6" t="s">
        <v>16</v>
      </c>
      <c r="N98" s="6" t="s">
        <v>16</v>
      </c>
      <c r="O98" s="6" t="s">
        <v>16</v>
      </c>
    </row>
    <row r="99" spans="1:15" ht="22.5" customHeight="1" x14ac:dyDescent="0.25">
      <c r="A99" s="4">
        <v>45982.75084069444</v>
      </c>
      <c r="B99" s="5">
        <v>26.08</v>
      </c>
      <c r="C99" s="3">
        <v>102</v>
      </c>
      <c r="D99" s="6" t="s">
        <v>15</v>
      </c>
      <c r="E99" s="6" t="s">
        <v>16</v>
      </c>
      <c r="F99" s="6" t="s">
        <v>26</v>
      </c>
      <c r="G99" s="6" t="s">
        <v>26</v>
      </c>
      <c r="H99" s="6" t="s">
        <v>19</v>
      </c>
      <c r="I99" s="6" t="s">
        <v>91</v>
      </c>
      <c r="J99" s="6" t="s">
        <v>17</v>
      </c>
      <c r="K99" s="6" t="s">
        <v>25</v>
      </c>
      <c r="L99" s="6" t="s">
        <v>21</v>
      </c>
      <c r="M99" s="6" t="s">
        <v>16</v>
      </c>
      <c r="N99" s="6" t="s">
        <v>16</v>
      </c>
      <c r="O99" s="6" t="s">
        <v>16</v>
      </c>
    </row>
    <row r="100" spans="1:15" ht="22.5" customHeight="1" x14ac:dyDescent="0.25">
      <c r="A100" s="4">
        <v>45982.930127291664</v>
      </c>
      <c r="B100" s="7" t="s">
        <v>117</v>
      </c>
      <c r="C100" s="6">
        <v>107</v>
      </c>
      <c r="D100" s="6" t="s">
        <v>70</v>
      </c>
      <c r="E100" s="6" t="s">
        <v>16</v>
      </c>
      <c r="F100" s="6" t="s">
        <v>26</v>
      </c>
      <c r="G100" s="6" t="s">
        <v>42</v>
      </c>
      <c r="H100" s="6" t="s">
        <v>20</v>
      </c>
      <c r="I100" s="6" t="s">
        <v>26</v>
      </c>
      <c r="J100" s="6" t="s">
        <v>91</v>
      </c>
      <c r="L100" s="6" t="s">
        <v>21</v>
      </c>
      <c r="M100" s="6" t="s">
        <v>16</v>
      </c>
      <c r="N100" s="6" t="s">
        <v>16</v>
      </c>
      <c r="O100" s="6" t="s">
        <v>16</v>
      </c>
    </row>
    <row r="101" spans="1:15" ht="22.5" customHeight="1" x14ac:dyDescent="0.25">
      <c r="A101" s="4">
        <v>45983.024163136579</v>
      </c>
      <c r="B101" s="7" t="s">
        <v>118</v>
      </c>
      <c r="C101" s="6">
        <v>121</v>
      </c>
      <c r="D101" s="6" t="s">
        <v>86</v>
      </c>
      <c r="E101" s="6" t="s">
        <v>16</v>
      </c>
      <c r="F101" s="6" t="s">
        <v>26</v>
      </c>
      <c r="G101" s="6" t="s">
        <v>26</v>
      </c>
      <c r="H101" s="6" t="s">
        <v>19</v>
      </c>
      <c r="I101" s="6" t="s">
        <v>91</v>
      </c>
      <c r="J101" s="6" t="s">
        <v>25</v>
      </c>
      <c r="L101" s="6" t="s">
        <v>21</v>
      </c>
      <c r="M101" s="6" t="s">
        <v>21</v>
      </c>
      <c r="N101" s="6" t="s">
        <v>16</v>
      </c>
      <c r="O101" s="6" t="s">
        <v>16</v>
      </c>
    </row>
    <row r="102" spans="1:15" ht="22.5" customHeight="1" x14ac:dyDescent="0.25">
      <c r="A102" s="4">
        <v>45982.767378020828</v>
      </c>
      <c r="B102" s="7" t="s">
        <v>119</v>
      </c>
      <c r="C102" s="3">
        <v>113</v>
      </c>
      <c r="D102" s="6" t="s">
        <v>86</v>
      </c>
      <c r="E102" s="6" t="s">
        <v>16</v>
      </c>
      <c r="F102" s="6" t="s">
        <v>26</v>
      </c>
      <c r="G102" s="6" t="s">
        <v>26</v>
      </c>
      <c r="L102" s="6" t="s">
        <v>21</v>
      </c>
      <c r="M102" s="6" t="s">
        <v>21</v>
      </c>
      <c r="N102" s="6" t="s">
        <v>16</v>
      </c>
      <c r="O102" s="6" t="s">
        <v>16</v>
      </c>
    </row>
    <row r="103" spans="1:15" ht="22.5" customHeight="1" x14ac:dyDescent="0.25">
      <c r="A103" s="4">
        <v>45982.698605405094</v>
      </c>
      <c r="B103" s="5" t="s">
        <v>120</v>
      </c>
      <c r="C103" s="3">
        <v>119</v>
      </c>
      <c r="D103" s="6" t="s">
        <v>15</v>
      </c>
      <c r="E103" s="6" t="s">
        <v>16</v>
      </c>
      <c r="F103" s="6" t="s">
        <v>26</v>
      </c>
      <c r="G103" s="6" t="s">
        <v>26</v>
      </c>
      <c r="H103" s="6" t="s">
        <v>42</v>
      </c>
      <c r="I103" s="6" t="s">
        <v>19</v>
      </c>
      <c r="J103" s="6" t="s">
        <v>24</v>
      </c>
      <c r="K103" s="6" t="s">
        <v>18</v>
      </c>
      <c r="L103" s="6" t="s">
        <v>21</v>
      </c>
      <c r="M103" s="6" t="s">
        <v>16</v>
      </c>
      <c r="N103" s="6" t="s">
        <v>16</v>
      </c>
      <c r="O103" s="6" t="s">
        <v>16</v>
      </c>
    </row>
    <row r="104" spans="1:15" ht="22.5" customHeight="1" x14ac:dyDescent="0.25">
      <c r="A104" s="4">
        <v>45982.843194351852</v>
      </c>
      <c r="B104" s="5">
        <v>29.2</v>
      </c>
      <c r="C104" s="6" t="s">
        <v>121</v>
      </c>
      <c r="D104" s="6" t="s">
        <v>46</v>
      </c>
      <c r="E104" s="6" t="s">
        <v>16</v>
      </c>
      <c r="F104" s="6" t="s">
        <v>122</v>
      </c>
      <c r="G104" s="6" t="s">
        <v>27</v>
      </c>
      <c r="H104" s="6" t="s">
        <v>19</v>
      </c>
      <c r="I104" s="6" t="s">
        <v>24</v>
      </c>
      <c r="L104" s="6" t="s">
        <v>21</v>
      </c>
      <c r="M104" s="6" t="s">
        <v>21</v>
      </c>
      <c r="N104" s="6" t="s">
        <v>16</v>
      </c>
      <c r="O104" s="6" t="s">
        <v>16</v>
      </c>
    </row>
    <row r="105" spans="1:15" ht="22.5" customHeight="1" x14ac:dyDescent="0.25">
      <c r="A105" s="4">
        <v>45982.690290902778</v>
      </c>
      <c r="B105" s="5">
        <v>29.28</v>
      </c>
      <c r="C105" s="3">
        <v>114</v>
      </c>
      <c r="D105" s="6" t="s">
        <v>15</v>
      </c>
      <c r="E105" s="6" t="s">
        <v>16</v>
      </c>
      <c r="F105" s="6" t="s">
        <v>122</v>
      </c>
      <c r="G105" s="6" t="s">
        <v>27</v>
      </c>
      <c r="H105" s="6" t="s">
        <v>19</v>
      </c>
      <c r="I105" s="6" t="s">
        <v>24</v>
      </c>
      <c r="J105" s="6" t="s">
        <v>18</v>
      </c>
      <c r="K105" s="6" t="s">
        <v>91</v>
      </c>
      <c r="L105" s="6" t="s">
        <v>21</v>
      </c>
      <c r="M105" s="6" t="s">
        <v>21</v>
      </c>
      <c r="N105" s="6" t="s">
        <v>16</v>
      </c>
      <c r="O105" s="6" t="s">
        <v>16</v>
      </c>
    </row>
    <row r="106" spans="1:15" ht="22.5" customHeight="1" x14ac:dyDescent="0.25">
      <c r="A106" s="4">
        <v>45982.745068518518</v>
      </c>
      <c r="B106" s="5">
        <v>30.15</v>
      </c>
      <c r="C106" s="3">
        <v>116</v>
      </c>
      <c r="D106" s="6" t="s">
        <v>15</v>
      </c>
      <c r="E106" s="6" t="s">
        <v>16</v>
      </c>
      <c r="F106" s="6" t="s">
        <v>122</v>
      </c>
      <c r="G106" s="6" t="s">
        <v>27</v>
      </c>
      <c r="H106" s="6" t="s">
        <v>19</v>
      </c>
      <c r="I106" s="6" t="s">
        <v>42</v>
      </c>
      <c r="J106" s="6" t="s">
        <v>24</v>
      </c>
      <c r="L106" s="6" t="s">
        <v>16</v>
      </c>
      <c r="M106" s="6" t="s">
        <v>21</v>
      </c>
      <c r="N106" s="6" t="s">
        <v>16</v>
      </c>
      <c r="O106" s="6" t="s">
        <v>16</v>
      </c>
    </row>
    <row r="107" spans="1:15" ht="22.5" customHeight="1" x14ac:dyDescent="0.25">
      <c r="A107" s="4">
        <v>45982.729231805555</v>
      </c>
      <c r="B107" s="5" t="s">
        <v>123</v>
      </c>
      <c r="C107" s="3">
        <v>125</v>
      </c>
      <c r="D107" s="6" t="s">
        <v>15</v>
      </c>
      <c r="E107" s="6" t="s">
        <v>16</v>
      </c>
      <c r="F107" s="6" t="s">
        <v>122</v>
      </c>
      <c r="G107" s="6" t="s">
        <v>27</v>
      </c>
      <c r="H107" s="6" t="s">
        <v>24</v>
      </c>
      <c r="I107" s="6" t="s">
        <v>31</v>
      </c>
      <c r="J107" s="6" t="s">
        <v>19</v>
      </c>
      <c r="K107" s="6" t="s">
        <v>25</v>
      </c>
      <c r="L107" s="6" t="s">
        <v>21</v>
      </c>
      <c r="M107" s="6" t="s">
        <v>16</v>
      </c>
      <c r="N107" s="6" t="s">
        <v>16</v>
      </c>
      <c r="O107" s="6" t="s">
        <v>16</v>
      </c>
    </row>
    <row r="108" spans="1:15" ht="22.5" customHeight="1" x14ac:dyDescent="0.25">
      <c r="A108" s="4">
        <v>45982.693575729165</v>
      </c>
      <c r="B108" s="7" t="s">
        <v>95</v>
      </c>
      <c r="C108" s="3">
        <v>119</v>
      </c>
      <c r="D108" s="6" t="s">
        <v>37</v>
      </c>
      <c r="E108" s="6" t="s">
        <v>16</v>
      </c>
      <c r="F108" s="6" t="s">
        <v>122</v>
      </c>
      <c r="G108" s="6" t="s">
        <v>27</v>
      </c>
      <c r="H108" s="6" t="s">
        <v>38</v>
      </c>
      <c r="I108" s="6" t="s">
        <v>64</v>
      </c>
      <c r="J108" s="6" t="s">
        <v>19</v>
      </c>
      <c r="K108" s="6"/>
      <c r="L108" s="6" t="s">
        <v>21</v>
      </c>
      <c r="M108" s="6" t="s">
        <v>16</v>
      </c>
      <c r="N108" s="6" t="s">
        <v>16</v>
      </c>
      <c r="O108" s="6" t="s">
        <v>16</v>
      </c>
    </row>
    <row r="109" spans="1:15" ht="22.5" customHeight="1" x14ac:dyDescent="0.25">
      <c r="A109" s="4">
        <v>45982.70198795139</v>
      </c>
      <c r="B109" s="7" t="s">
        <v>124</v>
      </c>
      <c r="C109" s="3">
        <v>120</v>
      </c>
      <c r="D109" s="6" t="s">
        <v>37</v>
      </c>
      <c r="E109" s="6" t="s">
        <v>16</v>
      </c>
      <c r="F109" s="6" t="s">
        <v>122</v>
      </c>
      <c r="G109" s="6" t="s">
        <v>27</v>
      </c>
      <c r="H109" s="6" t="s">
        <v>19</v>
      </c>
      <c r="I109" s="6" t="s">
        <v>24</v>
      </c>
      <c r="J109" s="6" t="s">
        <v>18</v>
      </c>
      <c r="K109" s="6" t="s">
        <v>31</v>
      </c>
      <c r="L109" s="6" t="s">
        <v>21</v>
      </c>
      <c r="M109" s="6" t="s">
        <v>16</v>
      </c>
      <c r="N109" s="6" t="s">
        <v>16</v>
      </c>
      <c r="O109" s="6" t="s">
        <v>16</v>
      </c>
    </row>
    <row r="110" spans="1:15" ht="22.5" customHeight="1" x14ac:dyDescent="0.25">
      <c r="A110" s="4">
        <v>45982.802747141206</v>
      </c>
      <c r="B110" s="5" t="s">
        <v>51</v>
      </c>
      <c r="C110" s="6">
        <v>101</v>
      </c>
      <c r="D110" s="6" t="s">
        <v>86</v>
      </c>
      <c r="E110" s="6" t="s">
        <v>16</v>
      </c>
      <c r="F110" s="6" t="s">
        <v>122</v>
      </c>
      <c r="G110" s="6" t="s">
        <v>27</v>
      </c>
      <c r="H110" s="6" t="s">
        <v>31</v>
      </c>
      <c r="I110" s="6" t="s">
        <v>64</v>
      </c>
      <c r="J110" s="6" t="s">
        <v>24</v>
      </c>
      <c r="K110" s="6" t="s">
        <v>18</v>
      </c>
      <c r="L110" s="6" t="s">
        <v>21</v>
      </c>
      <c r="M110" s="6" t="s">
        <v>16</v>
      </c>
      <c r="N110" s="6" t="s">
        <v>16</v>
      </c>
      <c r="O110" s="6" t="s">
        <v>16</v>
      </c>
    </row>
    <row r="111" spans="1:15" ht="22.5" customHeight="1" x14ac:dyDescent="0.25">
      <c r="A111" s="4">
        <v>45982.701240555558</v>
      </c>
      <c r="B111" s="7" t="s">
        <v>125</v>
      </c>
      <c r="C111" s="3">
        <v>123</v>
      </c>
      <c r="D111" s="6" t="s">
        <v>15</v>
      </c>
      <c r="E111" s="6" t="s">
        <v>16</v>
      </c>
      <c r="F111" s="6" t="s">
        <v>122</v>
      </c>
      <c r="G111" s="6" t="s">
        <v>27</v>
      </c>
      <c r="L111" s="6" t="s">
        <v>21</v>
      </c>
      <c r="M111" s="6" t="s">
        <v>16</v>
      </c>
      <c r="N111" s="6" t="s">
        <v>16</v>
      </c>
      <c r="O111" s="6" t="s">
        <v>16</v>
      </c>
    </row>
    <row r="112" spans="1:15" ht="22.5" customHeight="1" x14ac:dyDescent="0.25">
      <c r="A112" s="4">
        <v>45982.687264687498</v>
      </c>
      <c r="B112" s="7" t="s">
        <v>126</v>
      </c>
      <c r="C112" s="3">
        <v>120</v>
      </c>
      <c r="D112" s="6" t="s">
        <v>46</v>
      </c>
      <c r="E112" s="6" t="s">
        <v>16</v>
      </c>
      <c r="F112" s="6" t="s">
        <v>122</v>
      </c>
      <c r="G112" s="6" t="s">
        <v>27</v>
      </c>
      <c r="H112" s="6"/>
      <c r="I112" s="6"/>
      <c r="J112" s="6"/>
      <c r="K112" s="6"/>
      <c r="L112" s="6" t="s">
        <v>21</v>
      </c>
      <c r="M112" s="6" t="s">
        <v>16</v>
      </c>
      <c r="N112" s="6" t="s">
        <v>16</v>
      </c>
      <c r="O112" s="6" t="s">
        <v>16</v>
      </c>
    </row>
    <row r="113" spans="1:15" ht="22.5" customHeight="1" x14ac:dyDescent="0.25">
      <c r="A113" s="4">
        <v>45982.72325127315</v>
      </c>
      <c r="B113" s="7" t="s">
        <v>127</v>
      </c>
      <c r="C113" s="3">
        <v>120</v>
      </c>
      <c r="D113" s="6" t="s">
        <v>15</v>
      </c>
      <c r="E113" s="6" t="s">
        <v>16</v>
      </c>
      <c r="F113" s="6" t="s">
        <v>122</v>
      </c>
      <c r="G113" s="6" t="s">
        <v>64</v>
      </c>
      <c r="H113" s="6" t="s">
        <v>27</v>
      </c>
      <c r="I113" s="6" t="s">
        <v>19</v>
      </c>
      <c r="J113" s="6" t="s">
        <v>24</v>
      </c>
      <c r="K113" s="6" t="s">
        <v>25</v>
      </c>
      <c r="L113" s="6" t="s">
        <v>16</v>
      </c>
      <c r="M113" s="6" t="s">
        <v>16</v>
      </c>
      <c r="N113" s="6" t="s">
        <v>16</v>
      </c>
      <c r="O113" s="6" t="s">
        <v>16</v>
      </c>
    </row>
    <row r="114" spans="1:15" ht="22.5" customHeight="1" x14ac:dyDescent="0.25">
      <c r="A114" s="4">
        <v>45982.709635694446</v>
      </c>
      <c r="B114" s="5">
        <v>26</v>
      </c>
      <c r="C114" s="3">
        <v>147</v>
      </c>
      <c r="D114" s="6" t="s">
        <v>37</v>
      </c>
      <c r="E114" s="6" t="s">
        <v>16</v>
      </c>
      <c r="F114" s="6" t="s">
        <v>128</v>
      </c>
      <c r="G114" s="6" t="s">
        <v>27</v>
      </c>
      <c r="H114" s="6" t="s">
        <v>38</v>
      </c>
      <c r="I114" s="6" t="s">
        <v>19</v>
      </c>
      <c r="J114" s="6" t="s">
        <v>18</v>
      </c>
      <c r="K114" s="6" t="s">
        <v>31</v>
      </c>
      <c r="L114" s="6" t="s">
        <v>21</v>
      </c>
      <c r="M114" s="6" t="s">
        <v>16</v>
      </c>
      <c r="N114" s="6" t="s">
        <v>16</v>
      </c>
      <c r="O114" s="6" t="s">
        <v>16</v>
      </c>
    </row>
    <row r="115" spans="1:15" ht="22.5" customHeight="1" x14ac:dyDescent="0.25">
      <c r="A115" s="4">
        <v>45982.727719907409</v>
      </c>
      <c r="B115" s="5">
        <v>26.74</v>
      </c>
      <c r="C115" s="3">
        <v>119</v>
      </c>
      <c r="D115" s="6" t="s">
        <v>15</v>
      </c>
      <c r="E115" s="6" t="s">
        <v>16</v>
      </c>
      <c r="F115" s="6" t="s">
        <v>128</v>
      </c>
      <c r="G115" s="6" t="s">
        <v>19</v>
      </c>
      <c r="H115" s="6" t="s">
        <v>24</v>
      </c>
      <c r="I115" s="6" t="s">
        <v>18</v>
      </c>
      <c r="J115" s="6" t="s">
        <v>17</v>
      </c>
      <c r="K115" s="6" t="s">
        <v>29</v>
      </c>
      <c r="L115" s="6" t="s">
        <v>21</v>
      </c>
      <c r="M115" s="6" t="s">
        <v>21</v>
      </c>
      <c r="N115" s="6" t="s">
        <v>16</v>
      </c>
      <c r="O115" s="6" t="s">
        <v>16</v>
      </c>
    </row>
    <row r="116" spans="1:15" ht="22.5" customHeight="1" x14ac:dyDescent="0.25">
      <c r="A116" s="4">
        <v>45982.715755509256</v>
      </c>
      <c r="B116" s="5">
        <v>27.08</v>
      </c>
      <c r="C116" s="3">
        <v>119</v>
      </c>
      <c r="D116" s="6" t="s">
        <v>15</v>
      </c>
      <c r="E116" s="6" t="s">
        <v>16</v>
      </c>
      <c r="F116" s="6" t="s">
        <v>128</v>
      </c>
      <c r="G116" s="6" t="s">
        <v>19</v>
      </c>
      <c r="L116" s="6" t="s">
        <v>21</v>
      </c>
      <c r="M116" s="6" t="s">
        <v>21</v>
      </c>
      <c r="N116" s="6" t="s">
        <v>16</v>
      </c>
      <c r="O116" s="6" t="s">
        <v>16</v>
      </c>
    </row>
    <row r="117" spans="1:15" ht="22.5" customHeight="1" x14ac:dyDescent="0.25">
      <c r="A117" s="4">
        <v>45984.494353194445</v>
      </c>
      <c r="B117" s="5">
        <v>27.75</v>
      </c>
      <c r="C117" s="6">
        <v>119</v>
      </c>
      <c r="D117" s="6" t="s">
        <v>15</v>
      </c>
      <c r="E117" s="6" t="s">
        <v>16</v>
      </c>
      <c r="F117" s="6" t="s">
        <v>128</v>
      </c>
      <c r="G117" s="6" t="s">
        <v>19</v>
      </c>
      <c r="H117" s="6" t="s">
        <v>31</v>
      </c>
      <c r="I117" s="6" t="s">
        <v>24</v>
      </c>
      <c r="J117" s="6" t="s">
        <v>18</v>
      </c>
      <c r="L117" s="6" t="s">
        <v>21</v>
      </c>
      <c r="M117" s="6" t="s">
        <v>21</v>
      </c>
      <c r="N117" s="6" t="s">
        <v>16</v>
      </c>
      <c r="O117" s="6" t="s">
        <v>16</v>
      </c>
    </row>
    <row r="118" spans="1:15" ht="22.5" customHeight="1" x14ac:dyDescent="0.25">
      <c r="A118" s="4">
        <v>45982.700082523152</v>
      </c>
      <c r="B118" s="5">
        <v>28.51</v>
      </c>
      <c r="C118" s="3">
        <v>119</v>
      </c>
      <c r="D118" s="6" t="s">
        <v>15</v>
      </c>
      <c r="E118" s="6" t="s">
        <v>16</v>
      </c>
      <c r="F118" s="6" t="s">
        <v>128</v>
      </c>
      <c r="G118" s="6" t="s">
        <v>19</v>
      </c>
      <c r="H118" s="6" t="s">
        <v>24</v>
      </c>
      <c r="I118" s="6" t="s">
        <v>25</v>
      </c>
      <c r="L118" s="6" t="s">
        <v>21</v>
      </c>
      <c r="M118" s="6" t="s">
        <v>21</v>
      </c>
      <c r="N118" s="6" t="s">
        <v>16</v>
      </c>
      <c r="O118" s="6" t="s">
        <v>16</v>
      </c>
    </row>
    <row r="119" spans="1:15" ht="22.5" customHeight="1" x14ac:dyDescent="0.25">
      <c r="A119" s="4">
        <v>45982.903416851856</v>
      </c>
      <c r="B119" s="5">
        <v>28.98</v>
      </c>
      <c r="C119" s="6">
        <v>109</v>
      </c>
      <c r="D119" s="6" t="s">
        <v>15</v>
      </c>
      <c r="E119" s="6" t="s">
        <v>16</v>
      </c>
      <c r="F119" s="6" t="s">
        <v>128</v>
      </c>
      <c r="G119" s="6" t="s">
        <v>19</v>
      </c>
      <c r="H119" s="6" t="s">
        <v>24</v>
      </c>
      <c r="L119" s="6" t="s">
        <v>21</v>
      </c>
      <c r="M119" s="6" t="s">
        <v>21</v>
      </c>
      <c r="N119" s="6" t="s">
        <v>16</v>
      </c>
      <c r="O119" s="6" t="s">
        <v>16</v>
      </c>
    </row>
    <row r="120" spans="1:15" ht="22.5" customHeight="1" x14ac:dyDescent="0.25">
      <c r="A120" s="4">
        <v>45982.770326921294</v>
      </c>
      <c r="B120" s="7" t="s">
        <v>129</v>
      </c>
      <c r="C120" s="6">
        <v>126</v>
      </c>
      <c r="D120" s="6" t="s">
        <v>86</v>
      </c>
      <c r="E120" s="6" t="s">
        <v>16</v>
      </c>
      <c r="F120" s="6" t="s">
        <v>128</v>
      </c>
      <c r="G120" s="6" t="s">
        <v>19</v>
      </c>
      <c r="L120" s="6" t="s">
        <v>21</v>
      </c>
      <c r="M120" s="6" t="s">
        <v>16</v>
      </c>
      <c r="N120" s="6" t="s">
        <v>16</v>
      </c>
      <c r="O120" s="6" t="s">
        <v>16</v>
      </c>
    </row>
    <row r="121" spans="1:15" ht="22.5" customHeight="1" x14ac:dyDescent="0.25">
      <c r="A121" s="4">
        <v>45982.734301412042</v>
      </c>
      <c r="B121" s="7" t="s">
        <v>130</v>
      </c>
      <c r="C121" s="3">
        <v>119</v>
      </c>
      <c r="D121" s="6" t="s">
        <v>15</v>
      </c>
      <c r="E121" s="6" t="s">
        <v>16</v>
      </c>
      <c r="F121" s="6" t="s">
        <v>128</v>
      </c>
      <c r="G121" s="6" t="s">
        <v>19</v>
      </c>
      <c r="H121" s="6" t="s">
        <v>24</v>
      </c>
      <c r="I121" s="6" t="s">
        <v>18</v>
      </c>
      <c r="J121" s="6" t="s">
        <v>29</v>
      </c>
      <c r="K121" s="6" t="s">
        <v>25</v>
      </c>
      <c r="L121" s="6" t="s">
        <v>21</v>
      </c>
      <c r="M121" s="6" t="s">
        <v>16</v>
      </c>
      <c r="N121" s="6" t="s">
        <v>16</v>
      </c>
      <c r="O121" s="6" t="s">
        <v>16</v>
      </c>
    </row>
    <row r="122" spans="1:15" ht="22.5" customHeight="1" x14ac:dyDescent="0.25">
      <c r="A122" s="4">
        <v>45982.800066284719</v>
      </c>
      <c r="B122" s="5" t="s">
        <v>83</v>
      </c>
      <c r="C122" s="6">
        <v>116</v>
      </c>
      <c r="D122" s="6" t="s">
        <v>37</v>
      </c>
      <c r="E122" s="6" t="s">
        <v>16</v>
      </c>
      <c r="F122" s="6" t="s">
        <v>128</v>
      </c>
      <c r="G122" s="6" t="s">
        <v>38</v>
      </c>
      <c r="H122" s="6" t="s">
        <v>19</v>
      </c>
      <c r="I122" s="6" t="s">
        <v>17</v>
      </c>
      <c r="J122" s="6" t="s">
        <v>25</v>
      </c>
      <c r="L122" s="6" t="s">
        <v>21</v>
      </c>
      <c r="M122" s="6" t="s">
        <v>21</v>
      </c>
      <c r="N122" s="6" t="s">
        <v>16</v>
      </c>
      <c r="O122" s="6" t="s">
        <v>16</v>
      </c>
    </row>
    <row r="123" spans="1:15" ht="22.5" customHeight="1" x14ac:dyDescent="0.25">
      <c r="A123" s="4">
        <v>45982.688927060182</v>
      </c>
      <c r="B123" s="7" t="s">
        <v>131</v>
      </c>
      <c r="C123" s="3">
        <v>115</v>
      </c>
      <c r="D123" s="6" t="s">
        <v>15</v>
      </c>
      <c r="E123" s="6" t="s">
        <v>16</v>
      </c>
      <c r="F123" s="6" t="s">
        <v>128</v>
      </c>
      <c r="G123" s="6" t="s">
        <v>19</v>
      </c>
      <c r="H123" s="6"/>
      <c r="I123" s="6"/>
      <c r="J123" s="6"/>
      <c r="K123" s="6"/>
      <c r="L123" s="6" t="s">
        <v>21</v>
      </c>
      <c r="M123" s="6" t="s">
        <v>16</v>
      </c>
      <c r="N123" s="6" t="s">
        <v>16</v>
      </c>
      <c r="O123" s="6" t="s">
        <v>16</v>
      </c>
    </row>
    <row r="124" spans="1:15" ht="22.5" customHeight="1" x14ac:dyDescent="0.25">
      <c r="A124" s="4">
        <v>45982.756624722228</v>
      </c>
      <c r="B124" s="7" t="s">
        <v>132</v>
      </c>
      <c r="C124" s="3">
        <v>124</v>
      </c>
      <c r="D124" s="6" t="s">
        <v>37</v>
      </c>
      <c r="E124" s="6" t="s">
        <v>16</v>
      </c>
      <c r="F124" s="6" t="s">
        <v>128</v>
      </c>
      <c r="G124" s="6" t="s">
        <v>38</v>
      </c>
      <c r="H124" s="6" t="s">
        <v>19</v>
      </c>
      <c r="I124" s="6" t="s">
        <v>18</v>
      </c>
      <c r="J124" s="6" t="s">
        <v>25</v>
      </c>
      <c r="L124" s="6" t="s">
        <v>21</v>
      </c>
      <c r="M124" s="6" t="s">
        <v>16</v>
      </c>
      <c r="N124" s="6" t="s">
        <v>16</v>
      </c>
      <c r="O124" s="6" t="s">
        <v>16</v>
      </c>
    </row>
    <row r="125" spans="1:15" ht="22.5" customHeight="1" x14ac:dyDescent="0.25">
      <c r="A125" s="4">
        <v>45982.788103506944</v>
      </c>
      <c r="B125" s="7" t="s">
        <v>133</v>
      </c>
      <c r="C125" s="6">
        <v>119</v>
      </c>
      <c r="D125" s="6" t="s">
        <v>15</v>
      </c>
      <c r="E125" s="6" t="s">
        <v>16</v>
      </c>
      <c r="F125" s="6" t="s">
        <v>128</v>
      </c>
      <c r="G125" s="6" t="s">
        <v>64</v>
      </c>
      <c r="H125" s="6" t="s">
        <v>19</v>
      </c>
      <c r="I125" s="6" t="s">
        <v>24</v>
      </c>
      <c r="L125" s="6" t="s">
        <v>21</v>
      </c>
      <c r="M125" s="6" t="s">
        <v>16</v>
      </c>
      <c r="N125" s="6" t="s">
        <v>16</v>
      </c>
      <c r="O125" s="6" t="s">
        <v>16</v>
      </c>
    </row>
    <row r="126" spans="1:15" ht="22.5" customHeight="1" x14ac:dyDescent="0.25">
      <c r="A126" s="4">
        <v>45982.729294849538</v>
      </c>
      <c r="B126" s="7" t="s">
        <v>134</v>
      </c>
      <c r="C126" s="3">
        <v>113</v>
      </c>
      <c r="D126" s="6" t="s">
        <v>15</v>
      </c>
      <c r="E126" s="6" t="s">
        <v>16</v>
      </c>
      <c r="F126" s="6" t="s">
        <v>128</v>
      </c>
      <c r="G126" s="6" t="s">
        <v>19</v>
      </c>
      <c r="L126" s="6" t="s">
        <v>21</v>
      </c>
      <c r="M126" s="6" t="s">
        <v>16</v>
      </c>
      <c r="N126" s="6" t="s">
        <v>16</v>
      </c>
      <c r="O126" s="6" t="s">
        <v>16</v>
      </c>
    </row>
    <row r="127" spans="1:15" ht="22.5" customHeight="1" x14ac:dyDescent="0.25">
      <c r="A127" s="4">
        <v>45982.694335578708</v>
      </c>
      <c r="B127" s="7" t="s">
        <v>135</v>
      </c>
      <c r="C127" s="3">
        <v>98</v>
      </c>
      <c r="D127" s="6" t="s">
        <v>15</v>
      </c>
      <c r="E127" s="6" t="s">
        <v>16</v>
      </c>
      <c r="F127" s="6" t="s">
        <v>128</v>
      </c>
      <c r="G127" s="6" t="s">
        <v>19</v>
      </c>
      <c r="H127" s="6" t="s">
        <v>18</v>
      </c>
      <c r="I127" s="6" t="s">
        <v>29</v>
      </c>
      <c r="J127" s="6" t="s">
        <v>26</v>
      </c>
      <c r="K127" s="6" t="s">
        <v>25</v>
      </c>
      <c r="L127" s="6" t="s">
        <v>21</v>
      </c>
      <c r="M127" s="6" t="s">
        <v>16</v>
      </c>
      <c r="N127" s="6" t="s">
        <v>16</v>
      </c>
      <c r="O127" s="6" t="s">
        <v>16</v>
      </c>
    </row>
    <row r="128" spans="1:15" ht="22.5" customHeight="1" x14ac:dyDescent="0.25">
      <c r="A128" s="4">
        <v>45982.696968379634</v>
      </c>
      <c r="B128" s="5" t="s">
        <v>136</v>
      </c>
      <c r="C128" s="3">
        <v>120</v>
      </c>
      <c r="D128" s="6" t="s">
        <v>15</v>
      </c>
      <c r="E128" s="6" t="s">
        <v>16</v>
      </c>
      <c r="F128" s="6" t="s">
        <v>128</v>
      </c>
      <c r="G128" s="6" t="s">
        <v>19</v>
      </c>
      <c r="H128" s="6" t="s">
        <v>24</v>
      </c>
      <c r="I128" s="6" t="s">
        <v>26</v>
      </c>
      <c r="J128" s="6" t="s">
        <v>42</v>
      </c>
      <c r="K128" s="6" t="s">
        <v>57</v>
      </c>
      <c r="L128" s="6" t="s">
        <v>21</v>
      </c>
      <c r="M128" s="6" t="s">
        <v>16</v>
      </c>
      <c r="N128" s="6" t="s">
        <v>21</v>
      </c>
      <c r="O128" s="6" t="s">
        <v>16</v>
      </c>
    </row>
    <row r="129" spans="1:15" ht="22.5" customHeight="1" x14ac:dyDescent="0.25">
      <c r="A129" s="4">
        <v>45982.729049340276</v>
      </c>
      <c r="B129" s="7" t="s">
        <v>137</v>
      </c>
      <c r="C129" s="3">
        <v>119</v>
      </c>
      <c r="D129" s="6" t="s">
        <v>15</v>
      </c>
      <c r="E129" s="6" t="s">
        <v>16</v>
      </c>
      <c r="F129" s="6" t="s">
        <v>128</v>
      </c>
      <c r="G129" s="6" t="s">
        <v>19</v>
      </c>
      <c r="H129" s="6" t="s">
        <v>25</v>
      </c>
      <c r="L129" s="6" t="s">
        <v>21</v>
      </c>
      <c r="M129" s="6" t="s">
        <v>21</v>
      </c>
      <c r="N129" s="6" t="s">
        <v>16</v>
      </c>
      <c r="O129" s="6" t="s">
        <v>16</v>
      </c>
    </row>
    <row r="130" spans="1:15" ht="22.5" customHeight="1" x14ac:dyDescent="0.25">
      <c r="A130" s="4">
        <v>45982.749710509263</v>
      </c>
      <c r="B130" s="7" t="s">
        <v>138</v>
      </c>
      <c r="C130" s="3">
        <v>114</v>
      </c>
      <c r="D130" s="6" t="s">
        <v>15</v>
      </c>
      <c r="E130" s="6" t="s">
        <v>16</v>
      </c>
      <c r="F130" s="6" t="s">
        <v>128</v>
      </c>
      <c r="G130" s="6" t="s">
        <v>19</v>
      </c>
      <c r="H130" s="6" t="s">
        <v>24</v>
      </c>
      <c r="I130" s="6" t="s">
        <v>25</v>
      </c>
      <c r="L130" s="6" t="s">
        <v>21</v>
      </c>
      <c r="M130" s="6" t="s">
        <v>21</v>
      </c>
      <c r="N130" s="6" t="s">
        <v>16</v>
      </c>
      <c r="O130" s="6" t="s">
        <v>16</v>
      </c>
    </row>
    <row r="131" spans="1:15" ht="22.5" customHeight="1" x14ac:dyDescent="0.25">
      <c r="A131" s="4">
        <v>45982.692095034727</v>
      </c>
      <c r="B131" s="5" t="s">
        <v>139</v>
      </c>
      <c r="C131" s="3">
        <v>115</v>
      </c>
      <c r="D131" s="6" t="s">
        <v>15</v>
      </c>
      <c r="E131" s="6" t="s">
        <v>16</v>
      </c>
      <c r="F131" s="6" t="s">
        <v>128</v>
      </c>
      <c r="G131" s="6" t="s">
        <v>19</v>
      </c>
      <c r="H131" s="6" t="s">
        <v>24</v>
      </c>
      <c r="I131" s="6"/>
      <c r="J131" s="6"/>
      <c r="K131" s="6"/>
      <c r="L131" s="6" t="s">
        <v>21</v>
      </c>
      <c r="M131" s="6" t="s">
        <v>16</v>
      </c>
      <c r="N131" s="6" t="s">
        <v>16</v>
      </c>
      <c r="O131" s="6" t="s">
        <v>16</v>
      </c>
    </row>
    <row r="132" spans="1:15" ht="22.5" customHeight="1" x14ac:dyDescent="0.25">
      <c r="A132" s="4">
        <v>45982.733587812501</v>
      </c>
      <c r="B132" s="7" t="s">
        <v>140</v>
      </c>
      <c r="C132" s="3">
        <v>111</v>
      </c>
      <c r="D132" s="6" t="s">
        <v>15</v>
      </c>
      <c r="E132" s="6" t="s">
        <v>16</v>
      </c>
      <c r="F132" s="6" t="s">
        <v>128</v>
      </c>
      <c r="G132" s="6" t="s">
        <v>19</v>
      </c>
      <c r="H132" s="6" t="s">
        <v>24</v>
      </c>
      <c r="I132" s="6" t="s">
        <v>25</v>
      </c>
      <c r="L132" s="6" t="s">
        <v>21</v>
      </c>
      <c r="M132" s="6" t="s">
        <v>21</v>
      </c>
      <c r="N132" s="6" t="s">
        <v>16</v>
      </c>
      <c r="O132" s="6" t="s">
        <v>16</v>
      </c>
    </row>
    <row r="133" spans="1:15" ht="22.5" customHeight="1" x14ac:dyDescent="0.25">
      <c r="A133" s="4">
        <v>45982.807200254625</v>
      </c>
      <c r="B133" s="7" t="s">
        <v>141</v>
      </c>
      <c r="C133" s="6">
        <v>97</v>
      </c>
      <c r="D133" s="6" t="s">
        <v>37</v>
      </c>
      <c r="E133" s="6" t="s">
        <v>16</v>
      </c>
      <c r="F133" s="6" t="s">
        <v>128</v>
      </c>
      <c r="G133" s="6" t="s">
        <v>27</v>
      </c>
      <c r="H133" s="6" t="s">
        <v>64</v>
      </c>
      <c r="I133" s="6" t="s">
        <v>62</v>
      </c>
      <c r="J133" s="6" t="s">
        <v>31</v>
      </c>
      <c r="K133" s="6" t="s">
        <v>19</v>
      </c>
      <c r="L133" s="6" t="s">
        <v>21</v>
      </c>
      <c r="M133" s="6" t="s">
        <v>16</v>
      </c>
      <c r="N133" s="6" t="s">
        <v>16</v>
      </c>
      <c r="O133" s="6" t="s">
        <v>16</v>
      </c>
    </row>
    <row r="134" spans="1:15" ht="22.5" customHeight="1" x14ac:dyDescent="0.25">
      <c r="A134" s="4">
        <v>45984.699972488423</v>
      </c>
      <c r="B134" s="7" t="s">
        <v>71</v>
      </c>
      <c r="C134" s="6">
        <v>119</v>
      </c>
      <c r="D134" s="6" t="s">
        <v>15</v>
      </c>
      <c r="E134" s="6" t="s">
        <v>16</v>
      </c>
      <c r="F134" s="6" t="s">
        <v>128</v>
      </c>
      <c r="G134" s="6" t="s">
        <v>19</v>
      </c>
      <c r="H134" s="6" t="s">
        <v>31</v>
      </c>
      <c r="I134" s="6" t="s">
        <v>24</v>
      </c>
      <c r="J134" s="6" t="s">
        <v>18</v>
      </c>
      <c r="L134" s="6" t="s">
        <v>21</v>
      </c>
      <c r="M134" s="6" t="s">
        <v>21</v>
      </c>
      <c r="N134" s="6" t="s">
        <v>16</v>
      </c>
      <c r="O134" s="6" t="s">
        <v>16</v>
      </c>
    </row>
    <row r="135" spans="1:15" ht="22.5" customHeight="1" x14ac:dyDescent="0.25">
      <c r="A135" s="4">
        <v>45982.719574745366</v>
      </c>
      <c r="B135" s="7" t="s">
        <v>142</v>
      </c>
      <c r="C135" s="3">
        <v>117</v>
      </c>
      <c r="D135" s="6" t="s">
        <v>15</v>
      </c>
      <c r="E135" s="6" t="s">
        <v>16</v>
      </c>
      <c r="F135" s="6" t="s">
        <v>128</v>
      </c>
      <c r="G135" s="6" t="s">
        <v>27</v>
      </c>
      <c r="H135" s="6" t="s">
        <v>19</v>
      </c>
      <c r="L135" s="6" t="s">
        <v>21</v>
      </c>
      <c r="M135" s="6" t="s">
        <v>16</v>
      </c>
      <c r="N135" s="6" t="s">
        <v>16</v>
      </c>
      <c r="O135" s="6" t="s">
        <v>16</v>
      </c>
    </row>
    <row r="136" spans="1:15" ht="22.5" customHeight="1" x14ac:dyDescent="0.25">
      <c r="A136" s="4">
        <v>45982.733859907406</v>
      </c>
      <c r="B136" s="7" t="s">
        <v>39</v>
      </c>
      <c r="C136" s="3">
        <v>119</v>
      </c>
      <c r="D136" s="6" t="s">
        <v>15</v>
      </c>
      <c r="E136" s="6" t="s">
        <v>16</v>
      </c>
      <c r="F136" s="6" t="s">
        <v>128</v>
      </c>
      <c r="G136" s="6" t="s">
        <v>19</v>
      </c>
      <c r="H136" s="6" t="s">
        <v>24</v>
      </c>
      <c r="I136" s="6" t="s">
        <v>38</v>
      </c>
      <c r="J136" s="6" t="s">
        <v>18</v>
      </c>
      <c r="K136" s="6" t="s">
        <v>25</v>
      </c>
      <c r="L136" s="6" t="s">
        <v>21</v>
      </c>
      <c r="M136" s="6" t="s">
        <v>21</v>
      </c>
      <c r="N136" s="6" t="s">
        <v>16</v>
      </c>
      <c r="O136" s="6" t="s">
        <v>16</v>
      </c>
    </row>
    <row r="137" spans="1:15" ht="22.5" customHeight="1" x14ac:dyDescent="0.25">
      <c r="A137" s="4">
        <v>45982.751511840281</v>
      </c>
      <c r="B137" s="7" t="s">
        <v>143</v>
      </c>
      <c r="C137" s="3" t="s">
        <v>144</v>
      </c>
      <c r="D137" s="6" t="s">
        <v>15</v>
      </c>
      <c r="E137" s="6" t="s">
        <v>16</v>
      </c>
      <c r="F137" s="6" t="s">
        <v>128</v>
      </c>
      <c r="G137" s="6" t="s">
        <v>27</v>
      </c>
      <c r="H137" s="6" t="s">
        <v>19</v>
      </c>
      <c r="I137" s="6" t="s">
        <v>18</v>
      </c>
      <c r="J137" s="6" t="s">
        <v>24</v>
      </c>
      <c r="K137" s="6" t="s">
        <v>91</v>
      </c>
      <c r="L137" s="6" t="s">
        <v>21</v>
      </c>
      <c r="M137" s="6" t="s">
        <v>16</v>
      </c>
      <c r="N137" s="6" t="s">
        <v>16</v>
      </c>
      <c r="O137" s="6" t="s">
        <v>16</v>
      </c>
    </row>
    <row r="138" spans="1:15" ht="22.5" customHeight="1" x14ac:dyDescent="0.25">
      <c r="A138" s="4">
        <v>45982.722555243061</v>
      </c>
      <c r="B138" s="7" t="s">
        <v>145</v>
      </c>
      <c r="C138" s="3">
        <v>110</v>
      </c>
      <c r="D138" s="6" t="s">
        <v>15</v>
      </c>
      <c r="E138" s="6" t="s">
        <v>16</v>
      </c>
      <c r="F138" s="6" t="s">
        <v>128</v>
      </c>
      <c r="G138" s="6" t="s">
        <v>19</v>
      </c>
      <c r="H138" s="6" t="s">
        <v>25</v>
      </c>
      <c r="L138" s="6" t="s">
        <v>21</v>
      </c>
      <c r="M138" s="6" t="s">
        <v>21</v>
      </c>
      <c r="N138" s="6" t="s">
        <v>16</v>
      </c>
      <c r="O138" s="6" t="s">
        <v>16</v>
      </c>
    </row>
    <row r="139" spans="1:15" ht="22.5" customHeight="1" x14ac:dyDescent="0.25">
      <c r="A139" s="4">
        <v>45983.607715983795</v>
      </c>
      <c r="B139" s="7" t="s">
        <v>146</v>
      </c>
      <c r="C139" s="6">
        <v>126</v>
      </c>
      <c r="D139" s="6" t="s">
        <v>15</v>
      </c>
      <c r="E139" s="6" t="s">
        <v>16</v>
      </c>
      <c r="F139" s="6" t="s">
        <v>128</v>
      </c>
      <c r="G139" s="6" t="s">
        <v>31</v>
      </c>
      <c r="H139" s="6" t="s">
        <v>19</v>
      </c>
      <c r="I139" s="6" t="s">
        <v>24</v>
      </c>
      <c r="L139" s="6" t="s">
        <v>21</v>
      </c>
      <c r="M139" s="6" t="s">
        <v>16</v>
      </c>
      <c r="N139" s="6" t="s">
        <v>16</v>
      </c>
      <c r="O139" s="6" t="s">
        <v>16</v>
      </c>
    </row>
    <row r="140" spans="1:15" ht="22.5" customHeight="1" x14ac:dyDescent="0.25">
      <c r="A140" s="4">
        <v>45982.916593032409</v>
      </c>
      <c r="B140" s="7" t="s">
        <v>147</v>
      </c>
      <c r="C140" s="6">
        <v>114</v>
      </c>
      <c r="D140" s="6" t="s">
        <v>37</v>
      </c>
      <c r="E140" s="6" t="s">
        <v>16</v>
      </c>
      <c r="F140" s="6" t="s">
        <v>128</v>
      </c>
      <c r="G140" s="6" t="s">
        <v>27</v>
      </c>
      <c r="H140" s="6" t="s">
        <v>19</v>
      </c>
      <c r="I140" s="6" t="s">
        <v>64</v>
      </c>
      <c r="L140" s="6" t="s">
        <v>21</v>
      </c>
      <c r="M140" s="6" t="s">
        <v>16</v>
      </c>
      <c r="N140" s="6" t="s">
        <v>16</v>
      </c>
      <c r="O140" s="6" t="s">
        <v>16</v>
      </c>
    </row>
    <row r="141" spans="1:15" ht="22.5" customHeight="1" x14ac:dyDescent="0.25">
      <c r="A141" s="4">
        <v>45982.794486782412</v>
      </c>
      <c r="B141" s="7" t="s">
        <v>148</v>
      </c>
      <c r="C141" s="6" t="s">
        <v>149</v>
      </c>
      <c r="D141" s="6" t="s">
        <v>15</v>
      </c>
      <c r="E141" s="6" t="s">
        <v>16</v>
      </c>
      <c r="F141" s="6" t="s">
        <v>128</v>
      </c>
      <c r="G141" s="6" t="s">
        <v>19</v>
      </c>
      <c r="H141" s="6" t="s">
        <v>18</v>
      </c>
      <c r="I141" s="6" t="s">
        <v>24</v>
      </c>
      <c r="L141" s="6" t="s">
        <v>21</v>
      </c>
      <c r="M141" s="6" t="s">
        <v>21</v>
      </c>
      <c r="N141" s="6" t="s">
        <v>21</v>
      </c>
      <c r="O141" s="6" t="s">
        <v>16</v>
      </c>
    </row>
    <row r="142" spans="1:15" ht="22.5" customHeight="1" x14ac:dyDescent="0.25">
      <c r="A142" s="4">
        <v>45982.696144652778</v>
      </c>
      <c r="B142" s="7" t="s">
        <v>150</v>
      </c>
      <c r="C142" s="3" t="s">
        <v>151</v>
      </c>
      <c r="D142" s="6" t="s">
        <v>15</v>
      </c>
      <c r="E142" s="6" t="s">
        <v>16</v>
      </c>
      <c r="F142" s="6" t="s">
        <v>128</v>
      </c>
      <c r="G142" s="6" t="s">
        <v>19</v>
      </c>
      <c r="H142" s="6" t="s">
        <v>26</v>
      </c>
      <c r="I142" s="6" t="s">
        <v>24</v>
      </c>
      <c r="J142" s="6" t="s">
        <v>29</v>
      </c>
      <c r="L142" s="6" t="s">
        <v>21</v>
      </c>
      <c r="M142" s="6" t="s">
        <v>16</v>
      </c>
      <c r="N142" s="6" t="s">
        <v>16</v>
      </c>
      <c r="O142" s="6" t="s">
        <v>16</v>
      </c>
    </row>
    <row r="143" spans="1:15" ht="22.5" customHeight="1" x14ac:dyDescent="0.25">
      <c r="A143" s="4">
        <v>45982.770975034728</v>
      </c>
      <c r="B143" s="7" t="s">
        <v>152</v>
      </c>
      <c r="C143" s="6">
        <v>125</v>
      </c>
      <c r="D143" s="6" t="s">
        <v>15</v>
      </c>
      <c r="E143" s="6" t="s">
        <v>16</v>
      </c>
      <c r="F143" s="6" t="s">
        <v>128</v>
      </c>
      <c r="G143" s="6" t="s">
        <v>19</v>
      </c>
      <c r="H143" s="6" t="s">
        <v>24</v>
      </c>
      <c r="I143" s="6" t="s">
        <v>18</v>
      </c>
      <c r="L143" s="6" t="s">
        <v>21</v>
      </c>
      <c r="M143" s="6" t="s">
        <v>16</v>
      </c>
      <c r="N143" s="6" t="s">
        <v>16</v>
      </c>
      <c r="O143" s="6" t="s">
        <v>16</v>
      </c>
    </row>
    <row r="144" spans="1:15" ht="22.5" customHeight="1" x14ac:dyDescent="0.25">
      <c r="A144" s="4">
        <v>45982.69329059028</v>
      </c>
      <c r="B144" s="7" t="s">
        <v>153</v>
      </c>
      <c r="C144" s="3">
        <v>119</v>
      </c>
      <c r="D144" s="6" t="s">
        <v>15</v>
      </c>
      <c r="E144" s="6" t="s">
        <v>16</v>
      </c>
      <c r="F144" s="6" t="s">
        <v>154</v>
      </c>
      <c r="G144" s="6" t="s">
        <v>64</v>
      </c>
      <c r="H144" s="6" t="s">
        <v>19</v>
      </c>
      <c r="I144" s="6" t="s">
        <v>24</v>
      </c>
      <c r="J144" s="6" t="s">
        <v>20</v>
      </c>
      <c r="K144" s="6"/>
      <c r="L144" s="6" t="s">
        <v>21</v>
      </c>
      <c r="M144" s="6" t="s">
        <v>21</v>
      </c>
      <c r="N144" s="6" t="s">
        <v>16</v>
      </c>
      <c r="O144" s="6" t="s">
        <v>16</v>
      </c>
    </row>
    <row r="145" spans="1:15" ht="22.5" customHeight="1" x14ac:dyDescent="0.25">
      <c r="A145" s="4">
        <v>45982.699413344904</v>
      </c>
      <c r="B145" s="7" t="s">
        <v>155</v>
      </c>
      <c r="C145" s="3" t="s">
        <v>156</v>
      </c>
      <c r="D145" s="6" t="s">
        <v>86</v>
      </c>
      <c r="E145" s="6" t="s">
        <v>16</v>
      </c>
      <c r="F145" s="6" t="s">
        <v>154</v>
      </c>
      <c r="G145" s="6" t="s">
        <v>64</v>
      </c>
      <c r="H145" s="6" t="s">
        <v>27</v>
      </c>
      <c r="I145" s="6" t="s">
        <v>19</v>
      </c>
      <c r="J145" s="6" t="s">
        <v>31</v>
      </c>
      <c r="L145" s="6" t="s">
        <v>21</v>
      </c>
      <c r="M145" s="6" t="s">
        <v>16</v>
      </c>
      <c r="N145" s="6" t="s">
        <v>16</v>
      </c>
      <c r="O145" s="6" t="s">
        <v>16</v>
      </c>
    </row>
    <row r="146" spans="1:15" ht="22.5" customHeight="1" x14ac:dyDescent="0.25">
      <c r="A146" s="4">
        <v>45982.735994305556</v>
      </c>
      <c r="B146" s="5">
        <v>25</v>
      </c>
      <c r="C146" s="3">
        <v>113</v>
      </c>
      <c r="D146" s="6" t="s">
        <v>15</v>
      </c>
      <c r="E146" s="6" t="s">
        <v>16</v>
      </c>
      <c r="F146" s="6" t="s">
        <v>25</v>
      </c>
      <c r="G146" s="6" t="s">
        <v>19</v>
      </c>
      <c r="H146" s="6" t="s">
        <v>26</v>
      </c>
      <c r="I146" s="6" t="s">
        <v>18</v>
      </c>
      <c r="J146" s="6" t="s">
        <v>25</v>
      </c>
      <c r="L146" s="6" t="s">
        <v>21</v>
      </c>
      <c r="M146" s="6" t="s">
        <v>16</v>
      </c>
      <c r="N146" s="6" t="s">
        <v>16</v>
      </c>
      <c r="O146" s="6" t="s">
        <v>16</v>
      </c>
    </row>
    <row r="147" spans="1:15" ht="22.5" customHeight="1" x14ac:dyDescent="0.25">
      <c r="A147" s="4">
        <v>45982.722747418986</v>
      </c>
      <c r="B147" s="5">
        <v>26.5</v>
      </c>
      <c r="C147" s="3">
        <v>115</v>
      </c>
      <c r="D147" s="6" t="s">
        <v>15</v>
      </c>
      <c r="E147" s="6" t="s">
        <v>16</v>
      </c>
      <c r="F147" s="6" t="s">
        <v>25</v>
      </c>
      <c r="G147" s="6" t="s">
        <v>19</v>
      </c>
      <c r="H147" s="6" t="s">
        <v>24</v>
      </c>
      <c r="I147" s="6" t="s">
        <v>27</v>
      </c>
      <c r="J147" s="6" t="s">
        <v>25</v>
      </c>
      <c r="K147" s="6" t="s">
        <v>18</v>
      </c>
      <c r="L147" s="6" t="s">
        <v>21</v>
      </c>
      <c r="M147" s="6" t="s">
        <v>21</v>
      </c>
      <c r="N147" s="6" t="s">
        <v>16</v>
      </c>
      <c r="O147" s="6" t="s">
        <v>16</v>
      </c>
    </row>
    <row r="148" spans="1:15" ht="22.5" customHeight="1" x14ac:dyDescent="0.25">
      <c r="A148" s="4">
        <v>45982.746502407404</v>
      </c>
      <c r="B148" s="7" t="s">
        <v>157</v>
      </c>
      <c r="C148" s="3">
        <v>115</v>
      </c>
      <c r="D148" s="6" t="s">
        <v>15</v>
      </c>
      <c r="E148" s="6" t="s">
        <v>16</v>
      </c>
      <c r="F148" s="6" t="s">
        <v>25</v>
      </c>
      <c r="G148" s="6" t="s">
        <v>19</v>
      </c>
      <c r="H148" s="6" t="s">
        <v>25</v>
      </c>
      <c r="L148" s="6" t="s">
        <v>21</v>
      </c>
      <c r="M148" s="6" t="s">
        <v>16</v>
      </c>
      <c r="N148" s="6" t="s">
        <v>16</v>
      </c>
      <c r="O148" s="6" t="s">
        <v>16</v>
      </c>
    </row>
    <row r="149" spans="1:15" ht="22.5" customHeight="1" x14ac:dyDescent="0.25">
      <c r="A149" s="4">
        <v>45982.804003541663</v>
      </c>
      <c r="B149" s="7" t="s">
        <v>157</v>
      </c>
      <c r="C149" s="6" t="s">
        <v>158</v>
      </c>
      <c r="D149" s="6" t="s">
        <v>37</v>
      </c>
      <c r="E149" s="6" t="s">
        <v>16</v>
      </c>
      <c r="F149" s="6" t="s">
        <v>25</v>
      </c>
      <c r="G149" s="6" t="s">
        <v>19</v>
      </c>
      <c r="H149" s="6" t="s">
        <v>24</v>
      </c>
      <c r="I149" s="6" t="s">
        <v>25</v>
      </c>
      <c r="J149" s="6" t="s">
        <v>18</v>
      </c>
      <c r="K149" s="6" t="s">
        <v>42</v>
      </c>
      <c r="L149" s="6" t="s">
        <v>21</v>
      </c>
      <c r="M149" s="6" t="s">
        <v>16</v>
      </c>
      <c r="N149" s="6" t="s">
        <v>16</v>
      </c>
      <c r="O149" s="6" t="s">
        <v>16</v>
      </c>
    </row>
    <row r="150" spans="1:15" ht="22.5" customHeight="1" x14ac:dyDescent="0.25">
      <c r="A150" s="4">
        <v>45982.688444675921</v>
      </c>
      <c r="B150" s="7" t="s">
        <v>159</v>
      </c>
      <c r="C150" s="3">
        <v>97</v>
      </c>
      <c r="D150" s="6" t="s">
        <v>15</v>
      </c>
      <c r="E150" s="6" t="s">
        <v>16</v>
      </c>
      <c r="F150" s="6" t="s">
        <v>25</v>
      </c>
      <c r="G150" s="6" t="s">
        <v>24</v>
      </c>
      <c r="H150" s="6" t="s">
        <v>42</v>
      </c>
      <c r="I150" s="6" t="s">
        <v>25</v>
      </c>
      <c r="J150" s="6" t="s">
        <v>19</v>
      </c>
      <c r="K150" s="6" t="s">
        <v>91</v>
      </c>
      <c r="L150" s="6" t="s">
        <v>21</v>
      </c>
      <c r="M150" s="6" t="s">
        <v>21</v>
      </c>
      <c r="N150" s="6" t="s">
        <v>16</v>
      </c>
      <c r="O150" s="6" t="s">
        <v>16</v>
      </c>
    </row>
    <row r="151" spans="1:15" ht="22.5" customHeight="1" x14ac:dyDescent="0.25">
      <c r="A151" s="4">
        <v>45982.689799803236</v>
      </c>
      <c r="B151" s="5" t="s">
        <v>160</v>
      </c>
      <c r="C151" s="3">
        <v>119</v>
      </c>
      <c r="D151" s="6" t="s">
        <v>15</v>
      </c>
      <c r="E151" s="6" t="s">
        <v>16</v>
      </c>
      <c r="F151" s="6" t="s">
        <v>25</v>
      </c>
      <c r="G151" s="6" t="s">
        <v>19</v>
      </c>
      <c r="H151" s="6" t="s">
        <v>24</v>
      </c>
      <c r="I151" s="6" t="s">
        <v>25</v>
      </c>
      <c r="J151" s="6" t="s">
        <v>42</v>
      </c>
      <c r="K151" s="6" t="s">
        <v>18</v>
      </c>
      <c r="L151" s="6" t="s">
        <v>21</v>
      </c>
      <c r="M151" s="6" t="s">
        <v>21</v>
      </c>
      <c r="N151" s="6" t="s">
        <v>16</v>
      </c>
      <c r="O151" s="6" t="s">
        <v>16</v>
      </c>
    </row>
    <row r="152" spans="1:15" ht="22.5" customHeight="1" x14ac:dyDescent="0.25">
      <c r="A152" s="4">
        <v>45982.747004918987</v>
      </c>
      <c r="B152" s="7" t="s">
        <v>161</v>
      </c>
      <c r="C152" s="3">
        <v>110</v>
      </c>
      <c r="D152" s="6" t="s">
        <v>37</v>
      </c>
      <c r="E152" s="6" t="s">
        <v>16</v>
      </c>
      <c r="F152" s="6" t="s">
        <v>25</v>
      </c>
      <c r="G152" s="6" t="s">
        <v>27</v>
      </c>
      <c r="H152" s="6" t="s">
        <v>19</v>
      </c>
      <c r="I152" s="6" t="s">
        <v>25</v>
      </c>
      <c r="J152" s="6" t="s">
        <v>17</v>
      </c>
      <c r="L152" s="6" t="s">
        <v>21</v>
      </c>
      <c r="M152" s="6" t="s">
        <v>16</v>
      </c>
      <c r="N152" s="6" t="s">
        <v>16</v>
      </c>
      <c r="O152" s="6" t="s">
        <v>16</v>
      </c>
    </row>
    <row r="153" spans="1:15" ht="22.5" customHeight="1" x14ac:dyDescent="0.25">
      <c r="A153" s="4">
        <v>45982.723077939816</v>
      </c>
      <c r="B153" s="7" t="s">
        <v>162</v>
      </c>
      <c r="C153" s="3">
        <v>119</v>
      </c>
      <c r="D153" s="6" t="s">
        <v>15</v>
      </c>
      <c r="E153" s="6" t="s">
        <v>16</v>
      </c>
      <c r="F153" s="6" t="s">
        <v>25</v>
      </c>
      <c r="G153" s="6" t="s">
        <v>38</v>
      </c>
      <c r="H153" s="6" t="s">
        <v>19</v>
      </c>
      <c r="I153" s="6" t="s">
        <v>25</v>
      </c>
      <c r="J153" s="6" t="s">
        <v>18</v>
      </c>
      <c r="K153" s="6" t="s">
        <v>20</v>
      </c>
      <c r="L153" s="6" t="s">
        <v>21</v>
      </c>
      <c r="M153" s="6" t="s">
        <v>16</v>
      </c>
      <c r="N153" s="6" t="s">
        <v>16</v>
      </c>
      <c r="O153" s="6" t="s">
        <v>16</v>
      </c>
    </row>
    <row r="154" spans="1:15" ht="22.5" customHeight="1" x14ac:dyDescent="0.25">
      <c r="A154" s="4">
        <v>45983.45167790509</v>
      </c>
      <c r="B154" s="7" t="s">
        <v>163</v>
      </c>
      <c r="C154" s="6">
        <v>122</v>
      </c>
      <c r="D154" s="6" t="s">
        <v>23</v>
      </c>
      <c r="E154" s="6" t="s">
        <v>16</v>
      </c>
      <c r="F154" s="6" t="s">
        <v>25</v>
      </c>
      <c r="G154" s="6" t="s">
        <v>38</v>
      </c>
      <c r="H154" s="6" t="s">
        <v>25</v>
      </c>
      <c r="L154" s="6" t="s">
        <v>21</v>
      </c>
      <c r="M154" s="6" t="s">
        <v>21</v>
      </c>
      <c r="N154" s="6" t="s">
        <v>16</v>
      </c>
      <c r="O154" s="6" t="s">
        <v>16</v>
      </c>
    </row>
    <row r="155" spans="1:15" ht="22.5" customHeight="1" x14ac:dyDescent="0.25">
      <c r="A155" s="4">
        <v>45982.747385046299</v>
      </c>
      <c r="B155" s="5" t="s">
        <v>83</v>
      </c>
      <c r="C155" s="3">
        <v>110</v>
      </c>
      <c r="D155" s="6" t="s">
        <v>70</v>
      </c>
      <c r="E155" s="6" t="s">
        <v>16</v>
      </c>
      <c r="F155" s="6" t="s">
        <v>25</v>
      </c>
      <c r="G155" s="6" t="s">
        <v>25</v>
      </c>
      <c r="H155" s="6" t="s">
        <v>20</v>
      </c>
      <c r="L155" s="6" t="s">
        <v>21</v>
      </c>
      <c r="M155" s="6" t="s">
        <v>16</v>
      </c>
      <c r="N155" s="6" t="s">
        <v>16</v>
      </c>
      <c r="O155" s="6" t="s">
        <v>16</v>
      </c>
    </row>
    <row r="156" spans="1:15" ht="22.5" customHeight="1" x14ac:dyDescent="0.25">
      <c r="A156" s="4">
        <v>45982.782034629628</v>
      </c>
      <c r="B156" s="5" t="s">
        <v>164</v>
      </c>
      <c r="C156" s="6">
        <v>115</v>
      </c>
      <c r="D156" s="6" t="s">
        <v>15</v>
      </c>
      <c r="E156" s="6" t="s">
        <v>16</v>
      </c>
      <c r="F156" s="6" t="s">
        <v>25</v>
      </c>
      <c r="G156" s="6" t="s">
        <v>25</v>
      </c>
      <c r="H156" s="6" t="s">
        <v>17</v>
      </c>
      <c r="I156" s="6" t="s">
        <v>19</v>
      </c>
      <c r="L156" s="6" t="s">
        <v>21</v>
      </c>
      <c r="M156" s="6" t="s">
        <v>21</v>
      </c>
      <c r="N156" s="6" t="s">
        <v>16</v>
      </c>
      <c r="O156" s="6" t="s">
        <v>16</v>
      </c>
    </row>
    <row r="157" spans="1:15" ht="22.5" customHeight="1" x14ac:dyDescent="0.25">
      <c r="A157" s="4">
        <v>45982.69560929398</v>
      </c>
      <c r="B157" s="7" t="s">
        <v>165</v>
      </c>
      <c r="C157" s="3">
        <v>113</v>
      </c>
      <c r="D157" s="6" t="s">
        <v>15</v>
      </c>
      <c r="E157" s="6" t="s">
        <v>16</v>
      </c>
      <c r="F157" s="6" t="s">
        <v>25</v>
      </c>
      <c r="G157" s="6" t="s">
        <v>25</v>
      </c>
      <c r="H157" s="6" t="s">
        <v>19</v>
      </c>
      <c r="I157" s="6" t="s">
        <v>17</v>
      </c>
      <c r="L157" s="6" t="s">
        <v>21</v>
      </c>
      <c r="M157" s="6" t="s">
        <v>16</v>
      </c>
      <c r="N157" s="6" t="s">
        <v>16</v>
      </c>
      <c r="O157" s="6" t="s">
        <v>16</v>
      </c>
    </row>
    <row r="158" spans="1:15" ht="22.5" customHeight="1" x14ac:dyDescent="0.25">
      <c r="A158" s="4">
        <v>45982.73350667824</v>
      </c>
      <c r="B158" s="5">
        <v>24.32</v>
      </c>
      <c r="C158" s="3">
        <v>115</v>
      </c>
      <c r="D158" s="6" t="s">
        <v>15</v>
      </c>
      <c r="E158" s="6" t="s">
        <v>16</v>
      </c>
      <c r="F158" s="6" t="s">
        <v>29</v>
      </c>
      <c r="G158" s="6" t="s">
        <v>19</v>
      </c>
      <c r="H158" s="6" t="s">
        <v>26</v>
      </c>
      <c r="I158" s="6" t="s">
        <v>29</v>
      </c>
      <c r="J158" s="6" t="s">
        <v>18</v>
      </c>
      <c r="K158" s="6" t="s">
        <v>30</v>
      </c>
      <c r="L158" s="6" t="s">
        <v>21</v>
      </c>
      <c r="M158" s="6" t="s">
        <v>16</v>
      </c>
      <c r="N158" s="6" t="s">
        <v>16</v>
      </c>
      <c r="O158" s="6" t="s">
        <v>16</v>
      </c>
    </row>
    <row r="159" spans="1:15" ht="22.5" customHeight="1" x14ac:dyDescent="0.25">
      <c r="A159" s="4">
        <v>45982.943002604166</v>
      </c>
      <c r="B159" s="5">
        <v>27</v>
      </c>
      <c r="C159" s="6">
        <v>118</v>
      </c>
      <c r="D159" s="6" t="s">
        <v>37</v>
      </c>
      <c r="E159" s="6" t="s">
        <v>16</v>
      </c>
      <c r="F159" s="6" t="s">
        <v>29</v>
      </c>
      <c r="G159" s="6" t="s">
        <v>29</v>
      </c>
      <c r="H159" s="6" t="s">
        <v>17</v>
      </c>
      <c r="I159" s="6" t="s">
        <v>19</v>
      </c>
      <c r="J159" s="6" t="s">
        <v>26</v>
      </c>
      <c r="L159" s="6" t="s">
        <v>21</v>
      </c>
      <c r="M159" s="6" t="s">
        <v>16</v>
      </c>
      <c r="N159" s="6" t="s">
        <v>16</v>
      </c>
      <c r="O159" s="6" t="s">
        <v>16</v>
      </c>
    </row>
    <row r="160" spans="1:15" ht="22.5" customHeight="1" x14ac:dyDescent="0.25">
      <c r="A160" s="4">
        <v>45982.69007005787</v>
      </c>
      <c r="B160" s="7" t="s">
        <v>166</v>
      </c>
      <c r="C160" s="3">
        <v>112</v>
      </c>
      <c r="D160" s="6" t="s">
        <v>15</v>
      </c>
      <c r="E160" s="6" t="s">
        <v>16</v>
      </c>
      <c r="F160" s="6" t="s">
        <v>29</v>
      </c>
      <c r="G160" s="6" t="s">
        <v>91</v>
      </c>
      <c r="H160" s="6" t="s">
        <v>26</v>
      </c>
      <c r="I160" s="6" t="s">
        <v>29</v>
      </c>
      <c r="J160" s="6" t="s">
        <v>18</v>
      </c>
      <c r="K160" s="6" t="s">
        <v>57</v>
      </c>
      <c r="L160" s="6" t="s">
        <v>21</v>
      </c>
      <c r="M160" s="6" t="s">
        <v>21</v>
      </c>
      <c r="N160" s="6" t="s">
        <v>16</v>
      </c>
      <c r="O160" s="6" t="s">
        <v>16</v>
      </c>
    </row>
    <row r="161" spans="1:15" ht="22.5" customHeight="1" x14ac:dyDescent="0.25">
      <c r="A161" s="4">
        <v>45982.693306215282</v>
      </c>
      <c r="B161" s="7" t="s">
        <v>167</v>
      </c>
      <c r="C161" s="3">
        <v>116</v>
      </c>
      <c r="D161" s="6" t="s">
        <v>15</v>
      </c>
      <c r="E161" s="6" t="s">
        <v>16</v>
      </c>
      <c r="F161" s="6" t="s">
        <v>29</v>
      </c>
      <c r="G161" s="6" t="s">
        <v>18</v>
      </c>
      <c r="H161" s="6" t="s">
        <v>25</v>
      </c>
      <c r="I161" s="6" t="s">
        <v>29</v>
      </c>
      <c r="J161" s="6" t="s">
        <v>91</v>
      </c>
      <c r="K161" s="6" t="s">
        <v>26</v>
      </c>
      <c r="L161" s="6" t="s">
        <v>21</v>
      </c>
      <c r="M161" s="6" t="s">
        <v>21</v>
      </c>
      <c r="N161" s="6" t="s">
        <v>16</v>
      </c>
      <c r="O161" s="6" t="s">
        <v>16</v>
      </c>
    </row>
    <row r="162" spans="1:15" ht="22.5" customHeight="1" x14ac:dyDescent="0.25">
      <c r="A162" s="4">
        <v>45982.690533564819</v>
      </c>
      <c r="B162" s="5" t="s">
        <v>168</v>
      </c>
      <c r="C162" s="3">
        <v>110</v>
      </c>
      <c r="D162" s="6" t="s">
        <v>15</v>
      </c>
      <c r="E162" s="6" t="s">
        <v>16</v>
      </c>
      <c r="F162" s="6" t="s">
        <v>29</v>
      </c>
      <c r="G162" s="6" t="s">
        <v>26</v>
      </c>
      <c r="H162" s="6" t="s">
        <v>25</v>
      </c>
      <c r="I162" s="6" t="s">
        <v>91</v>
      </c>
      <c r="J162" s="6" t="s">
        <v>17</v>
      </c>
      <c r="K162" s="6" t="s">
        <v>29</v>
      </c>
      <c r="L162" s="6" t="s">
        <v>21</v>
      </c>
      <c r="M162" s="6" t="s">
        <v>16</v>
      </c>
      <c r="N162" s="6" t="s">
        <v>16</v>
      </c>
      <c r="O162" s="6" t="s">
        <v>16</v>
      </c>
    </row>
    <row r="163" spans="1:15" ht="22.5" customHeight="1" x14ac:dyDescent="0.25">
      <c r="A163" s="4">
        <v>45982.697770231476</v>
      </c>
      <c r="B163" s="7" t="s">
        <v>169</v>
      </c>
      <c r="C163" s="3">
        <v>110</v>
      </c>
      <c r="D163" s="6" t="s">
        <v>15</v>
      </c>
      <c r="E163" s="6" t="s">
        <v>16</v>
      </c>
      <c r="F163" s="6" t="s">
        <v>29</v>
      </c>
      <c r="G163" s="6" t="s">
        <v>18</v>
      </c>
      <c r="H163" s="6" t="s">
        <v>19</v>
      </c>
      <c r="I163" s="6" t="s">
        <v>20</v>
      </c>
      <c r="J163" s="6" t="s">
        <v>29</v>
      </c>
      <c r="K163" s="6" t="s">
        <v>26</v>
      </c>
      <c r="L163" s="6" t="s">
        <v>21</v>
      </c>
      <c r="M163" s="6" t="s">
        <v>16</v>
      </c>
      <c r="N163" s="6" t="s">
        <v>16</v>
      </c>
      <c r="O163" s="6" t="s">
        <v>16</v>
      </c>
    </row>
    <row r="164" spans="1:15" ht="22.5" customHeight="1" x14ac:dyDescent="0.25">
      <c r="A164" s="4">
        <v>45982.706596527772</v>
      </c>
      <c r="B164" s="5" t="s">
        <v>170</v>
      </c>
      <c r="C164" s="3" t="s">
        <v>171</v>
      </c>
      <c r="D164" s="6" t="s">
        <v>15</v>
      </c>
      <c r="E164" s="6" t="s">
        <v>16</v>
      </c>
      <c r="F164" s="6" t="s">
        <v>29</v>
      </c>
      <c r="G164" s="6" t="s">
        <v>17</v>
      </c>
      <c r="H164" s="6" t="s">
        <v>26</v>
      </c>
      <c r="J164" s="6" t="s">
        <v>29</v>
      </c>
      <c r="K164" s="6" t="s">
        <v>91</v>
      </c>
      <c r="L164" s="6" t="s">
        <v>21</v>
      </c>
      <c r="M164" s="6" t="s">
        <v>16</v>
      </c>
      <c r="N164" s="6" t="s">
        <v>16</v>
      </c>
      <c r="O164" s="6" t="s">
        <v>16</v>
      </c>
    </row>
    <row r="165" spans="1:15" ht="22.5" customHeight="1" x14ac:dyDescent="0.25">
      <c r="A165" s="4">
        <v>45982.711161504631</v>
      </c>
      <c r="B165" s="7" t="s">
        <v>172</v>
      </c>
      <c r="C165" s="3">
        <v>107</v>
      </c>
      <c r="D165" s="6" t="s">
        <v>15</v>
      </c>
      <c r="E165" s="6" t="s">
        <v>16</v>
      </c>
      <c r="F165" s="6" t="s">
        <v>29</v>
      </c>
      <c r="G165" s="6" t="s">
        <v>19</v>
      </c>
      <c r="H165" s="6" t="s">
        <v>29</v>
      </c>
      <c r="I165" s="6" t="s">
        <v>24</v>
      </c>
      <c r="J165" s="6" t="s">
        <v>25</v>
      </c>
      <c r="K165" s="6" t="s">
        <v>18</v>
      </c>
      <c r="L165" s="6" t="s">
        <v>21</v>
      </c>
      <c r="M165" s="6" t="s">
        <v>16</v>
      </c>
      <c r="N165" s="6" t="s">
        <v>16</v>
      </c>
      <c r="O165" s="6" t="s">
        <v>16</v>
      </c>
    </row>
    <row r="166" spans="1:15" ht="22.5" customHeight="1" x14ac:dyDescent="0.25">
      <c r="A166" s="4">
        <v>45982.69308430556</v>
      </c>
      <c r="B166" s="5">
        <v>24.3</v>
      </c>
      <c r="C166" s="3">
        <v>120</v>
      </c>
      <c r="D166" s="6" t="s">
        <v>15</v>
      </c>
      <c r="E166" s="6" t="s">
        <v>21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22.5" customHeight="1" x14ac:dyDescent="0.25">
      <c r="A167" s="4">
        <v>45982.798077881947</v>
      </c>
      <c r="B167" s="5">
        <v>25.42</v>
      </c>
      <c r="C167" s="6">
        <v>108</v>
      </c>
      <c r="D167" s="6" t="s">
        <v>15</v>
      </c>
      <c r="E167" s="6" t="s">
        <v>21</v>
      </c>
    </row>
    <row r="168" spans="1:15" ht="22.5" customHeight="1" x14ac:dyDescent="0.25">
      <c r="A168" s="4">
        <v>45982.69070648148</v>
      </c>
      <c r="B168" s="5">
        <v>25.68</v>
      </c>
      <c r="C168" s="3">
        <v>121</v>
      </c>
      <c r="D168" s="6" t="s">
        <v>15</v>
      </c>
      <c r="E168" s="6" t="s">
        <v>21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22.5" customHeight="1" x14ac:dyDescent="0.25">
      <c r="A169" s="4">
        <v>45982.689533912038</v>
      </c>
      <c r="B169" s="7" t="s">
        <v>173</v>
      </c>
      <c r="C169" s="3">
        <v>111</v>
      </c>
      <c r="D169" s="6" t="s">
        <v>15</v>
      </c>
      <c r="E169" s="6" t="s">
        <v>21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22.5" customHeight="1" x14ac:dyDescent="0.25">
      <c r="A170" s="4">
        <v>45982.688448252316</v>
      </c>
      <c r="B170" s="5" t="s">
        <v>174</v>
      </c>
      <c r="C170" s="3">
        <v>108</v>
      </c>
      <c r="D170" s="6" t="s">
        <v>15</v>
      </c>
      <c r="E170" s="6" t="s">
        <v>21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22.5" customHeight="1" x14ac:dyDescent="0.25">
      <c r="A171" s="4">
        <v>45982.731747465281</v>
      </c>
      <c r="B171" s="5" t="s">
        <v>175</v>
      </c>
      <c r="C171" s="3">
        <v>112</v>
      </c>
      <c r="D171" s="6" t="s">
        <v>37</v>
      </c>
      <c r="E171" s="6" t="s">
        <v>21</v>
      </c>
    </row>
    <row r="172" spans="1:15" ht="22.5" customHeight="1" x14ac:dyDescent="0.25">
      <c r="A172" s="4">
        <v>45982.700692800921</v>
      </c>
      <c r="B172" s="5" t="s">
        <v>176</v>
      </c>
      <c r="C172" s="3">
        <v>110</v>
      </c>
      <c r="D172" s="6" t="s">
        <v>15</v>
      </c>
      <c r="E172" s="6" t="s">
        <v>21</v>
      </c>
    </row>
    <row r="173" spans="1:15" ht="22.5" customHeight="1" x14ac:dyDescent="0.25">
      <c r="A173" s="4">
        <v>45982.909605324079</v>
      </c>
      <c r="B173" s="7" t="s">
        <v>177</v>
      </c>
      <c r="C173" s="6">
        <v>104</v>
      </c>
      <c r="D173" s="6" t="s">
        <v>41</v>
      </c>
      <c r="E173" s="6" t="s">
        <v>21</v>
      </c>
    </row>
    <row r="174" spans="1:15" ht="22.5" customHeight="1" x14ac:dyDescent="0.25">
      <c r="A174" s="4">
        <v>45982.780809293981</v>
      </c>
      <c r="B174" s="7" t="s">
        <v>178</v>
      </c>
      <c r="C174" s="6">
        <v>101</v>
      </c>
      <c r="D174" s="6" t="s">
        <v>86</v>
      </c>
      <c r="E174" s="6" t="s">
        <v>21</v>
      </c>
    </row>
    <row r="175" spans="1:15" ht="22.5" customHeight="1" x14ac:dyDescent="0.25">
      <c r="A175" s="4">
        <v>45982.816672488421</v>
      </c>
      <c r="B175" s="5" t="s">
        <v>160</v>
      </c>
      <c r="C175" s="6">
        <v>102</v>
      </c>
      <c r="D175" s="6" t="s">
        <v>15</v>
      </c>
      <c r="E175" s="6" t="s">
        <v>21</v>
      </c>
    </row>
    <row r="176" spans="1:15" ht="22.5" customHeight="1" x14ac:dyDescent="0.25">
      <c r="A176" s="4">
        <v>45982.692572824075</v>
      </c>
      <c r="B176" s="7" t="s">
        <v>179</v>
      </c>
      <c r="C176" s="3">
        <v>104</v>
      </c>
      <c r="D176" s="6" t="s">
        <v>15</v>
      </c>
      <c r="E176" s="6" t="s">
        <v>21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22.5" customHeight="1" x14ac:dyDescent="0.25">
      <c r="A177" s="4">
        <v>45982.69702806713</v>
      </c>
      <c r="B177" s="7" t="s">
        <v>180</v>
      </c>
      <c r="C177" s="3">
        <v>119</v>
      </c>
      <c r="D177" s="6" t="s">
        <v>15</v>
      </c>
      <c r="E177" s="6" t="s">
        <v>21</v>
      </c>
    </row>
    <row r="178" spans="1:15" ht="22.5" customHeight="1" x14ac:dyDescent="0.25">
      <c r="A178" s="4">
        <v>45982.832337523148</v>
      </c>
      <c r="B178" s="7" t="s">
        <v>181</v>
      </c>
      <c r="C178" s="6">
        <v>113</v>
      </c>
      <c r="D178" s="6" t="s">
        <v>107</v>
      </c>
      <c r="E178" s="6" t="s">
        <v>21</v>
      </c>
    </row>
    <row r="179" spans="1:15" ht="22.5" customHeight="1" x14ac:dyDescent="0.25">
      <c r="A179" s="4">
        <v>45985.596854837961</v>
      </c>
      <c r="B179" s="8" t="s">
        <v>182</v>
      </c>
      <c r="C179" s="6">
        <v>108</v>
      </c>
      <c r="D179" s="6" t="s">
        <v>15</v>
      </c>
      <c r="E179" s="6" t="s">
        <v>16</v>
      </c>
      <c r="F179" s="6" t="s">
        <v>25</v>
      </c>
      <c r="G179" s="6" t="s">
        <v>38</v>
      </c>
      <c r="H179" s="6" t="s">
        <v>19</v>
      </c>
      <c r="I179" s="6" t="s">
        <v>27</v>
      </c>
      <c r="J179" s="6" t="s">
        <v>25</v>
      </c>
      <c r="L179" s="6" t="s">
        <v>21</v>
      </c>
      <c r="M179" s="6" t="s">
        <v>16</v>
      </c>
      <c r="N179" s="6" t="s">
        <v>16</v>
      </c>
      <c r="O179" s="6" t="s">
        <v>16</v>
      </c>
    </row>
    <row r="180" spans="1:15" ht="22.5" customHeight="1" x14ac:dyDescent="0.25">
      <c r="A180" s="4">
        <v>45985.876869918982</v>
      </c>
      <c r="B180" s="6">
        <v>27.93</v>
      </c>
      <c r="C180" s="6">
        <v>110</v>
      </c>
      <c r="D180" s="6" t="s">
        <v>15</v>
      </c>
      <c r="E180" s="6" t="s">
        <v>16</v>
      </c>
      <c r="F180" s="6" t="s">
        <v>154</v>
      </c>
      <c r="G180" s="6" t="s">
        <v>64</v>
      </c>
      <c r="H180" s="6" t="s">
        <v>19</v>
      </c>
      <c r="I180" s="6" t="s">
        <v>62</v>
      </c>
      <c r="J180" s="6" t="s">
        <v>24</v>
      </c>
      <c r="L180" s="6" t="s">
        <v>21</v>
      </c>
      <c r="M180" s="6" t="s">
        <v>16</v>
      </c>
      <c r="N180" s="6" t="s">
        <v>16</v>
      </c>
      <c r="O180" s="6" t="s">
        <v>16</v>
      </c>
    </row>
    <row r="181" spans="1:15" ht="22.5" customHeight="1" x14ac:dyDescent="0.25">
      <c r="A181" s="4">
        <v>45986.78550943287</v>
      </c>
      <c r="B181" s="8" t="s">
        <v>183</v>
      </c>
      <c r="C181" s="6">
        <v>110</v>
      </c>
      <c r="D181" s="6" t="s">
        <v>15</v>
      </c>
      <c r="E181" s="6" t="s">
        <v>16</v>
      </c>
      <c r="F181" s="6" t="s">
        <v>128</v>
      </c>
      <c r="G181" s="6" t="s">
        <v>27</v>
      </c>
      <c r="H181" s="6" t="s">
        <v>19</v>
      </c>
      <c r="I181" s="6" t="s">
        <v>18</v>
      </c>
      <c r="L181" s="6" t="s">
        <v>21</v>
      </c>
      <c r="M181" s="6" t="s">
        <v>16</v>
      </c>
      <c r="N181" s="6" t="s">
        <v>16</v>
      </c>
      <c r="O181" s="6" t="s">
        <v>16</v>
      </c>
    </row>
    <row r="182" spans="1:15" ht="12.5" x14ac:dyDescent="0.25">
      <c r="B182" s="9"/>
      <c r="C182" s="10"/>
    </row>
    <row r="183" spans="1:15" ht="12.5" x14ac:dyDescent="0.25">
      <c r="B183" s="9"/>
      <c r="C183" s="10"/>
    </row>
    <row r="184" spans="1:15" ht="12.5" x14ac:dyDescent="0.25">
      <c r="B184" s="9"/>
      <c r="C184" s="10"/>
    </row>
    <row r="185" spans="1:15" ht="12.5" x14ac:dyDescent="0.25">
      <c r="B185" s="9"/>
      <c r="C185" s="10"/>
    </row>
    <row r="186" spans="1:15" ht="12.5" x14ac:dyDescent="0.25">
      <c r="B186" s="9"/>
      <c r="C186" s="10"/>
    </row>
    <row r="187" spans="1:15" ht="12.5" x14ac:dyDescent="0.25">
      <c r="B187" s="9"/>
      <c r="C187" s="10"/>
    </row>
    <row r="188" spans="1:15" ht="12.5" x14ac:dyDescent="0.25">
      <c r="B188" s="9"/>
      <c r="C188" s="10"/>
    </row>
    <row r="189" spans="1:15" ht="12.5" x14ac:dyDescent="0.25">
      <c r="B189" s="9"/>
      <c r="C189" s="10"/>
    </row>
    <row r="190" spans="1:15" ht="12.5" x14ac:dyDescent="0.25">
      <c r="B190" s="9"/>
      <c r="C190" s="10"/>
    </row>
    <row r="191" spans="1:15" ht="12.5" x14ac:dyDescent="0.25">
      <c r="B191" s="9"/>
      <c r="C191" s="10"/>
    </row>
    <row r="192" spans="1:15" ht="12.5" x14ac:dyDescent="0.25">
      <c r="B192" s="9"/>
      <c r="C192" s="10"/>
    </row>
    <row r="193" spans="2:3" ht="12.5" x14ac:dyDescent="0.25">
      <c r="B193" s="9"/>
      <c r="C193" s="10"/>
    </row>
    <row r="194" spans="2:3" ht="12.5" x14ac:dyDescent="0.25">
      <c r="B194" s="9"/>
      <c r="C194" s="10"/>
    </row>
    <row r="195" spans="2:3" ht="12.5" x14ac:dyDescent="0.25">
      <c r="B195" s="9"/>
      <c r="C195" s="10"/>
    </row>
    <row r="196" spans="2:3" ht="12.5" x14ac:dyDescent="0.25">
      <c r="B196" s="9"/>
      <c r="C196" s="10"/>
    </row>
    <row r="197" spans="2:3" ht="12.5" x14ac:dyDescent="0.25">
      <c r="B197" s="9"/>
      <c r="C197" s="10"/>
    </row>
    <row r="198" spans="2:3" ht="12.5" x14ac:dyDescent="0.25">
      <c r="B198" s="9"/>
      <c r="C198" s="10"/>
    </row>
    <row r="199" spans="2:3" ht="12.5" x14ac:dyDescent="0.25">
      <c r="B199" s="9"/>
      <c r="C199" s="10"/>
    </row>
    <row r="200" spans="2:3" ht="12.5" x14ac:dyDescent="0.25">
      <c r="B200" s="9"/>
      <c r="C200" s="10"/>
    </row>
    <row r="201" spans="2:3" ht="12.5" x14ac:dyDescent="0.25">
      <c r="B201" s="9"/>
      <c r="C201" s="10"/>
    </row>
    <row r="202" spans="2:3" ht="12.5" x14ac:dyDescent="0.25">
      <c r="B202" s="9"/>
      <c r="C202" s="10"/>
    </row>
    <row r="203" spans="2:3" ht="12.5" x14ac:dyDescent="0.25">
      <c r="B203" s="9"/>
      <c r="C203" s="10"/>
    </row>
    <row r="204" spans="2:3" ht="12.5" x14ac:dyDescent="0.25">
      <c r="B204" s="9"/>
      <c r="C204" s="10"/>
    </row>
    <row r="205" spans="2:3" ht="12.5" x14ac:dyDescent="0.25">
      <c r="B205" s="9"/>
      <c r="C205" s="10"/>
    </row>
    <row r="206" spans="2:3" ht="12.5" x14ac:dyDescent="0.25">
      <c r="B206" s="9"/>
      <c r="C206" s="10"/>
    </row>
    <row r="207" spans="2:3" ht="12.5" x14ac:dyDescent="0.25">
      <c r="B207" s="9"/>
      <c r="C207" s="10"/>
    </row>
    <row r="208" spans="2:3" ht="12.5" x14ac:dyDescent="0.25">
      <c r="B208" s="9"/>
      <c r="C208" s="10"/>
    </row>
    <row r="209" spans="2:3" ht="12.5" x14ac:dyDescent="0.25">
      <c r="B209" s="9"/>
      <c r="C209" s="10"/>
    </row>
    <row r="210" spans="2:3" ht="12.5" x14ac:dyDescent="0.25">
      <c r="B210" s="9"/>
      <c r="C210" s="10"/>
    </row>
    <row r="211" spans="2:3" ht="12.5" x14ac:dyDescent="0.25">
      <c r="B211" s="9"/>
      <c r="C211" s="10"/>
    </row>
    <row r="212" spans="2:3" ht="12.5" x14ac:dyDescent="0.25">
      <c r="B212" s="9"/>
      <c r="C212" s="10"/>
    </row>
    <row r="213" spans="2:3" ht="12.5" x14ac:dyDescent="0.25">
      <c r="B213" s="9"/>
      <c r="C213" s="10"/>
    </row>
    <row r="214" spans="2:3" ht="12.5" x14ac:dyDescent="0.25">
      <c r="B214" s="9"/>
      <c r="C214" s="10"/>
    </row>
    <row r="215" spans="2:3" ht="12.5" x14ac:dyDescent="0.25">
      <c r="B215" s="9"/>
      <c r="C215" s="10"/>
    </row>
    <row r="216" spans="2:3" ht="12.5" x14ac:dyDescent="0.25">
      <c r="B216" s="9"/>
      <c r="C216" s="10"/>
    </row>
    <row r="217" spans="2:3" ht="12.5" x14ac:dyDescent="0.25">
      <c r="B217" s="9"/>
      <c r="C217" s="10"/>
    </row>
    <row r="218" spans="2:3" ht="12.5" x14ac:dyDescent="0.25">
      <c r="B218" s="9"/>
      <c r="C218" s="10"/>
    </row>
    <row r="219" spans="2:3" ht="12.5" x14ac:dyDescent="0.25">
      <c r="B219" s="9"/>
      <c r="C219" s="10"/>
    </row>
    <row r="220" spans="2:3" ht="12.5" x14ac:dyDescent="0.25">
      <c r="B220" s="9"/>
      <c r="C220" s="10"/>
    </row>
    <row r="221" spans="2:3" ht="12.5" x14ac:dyDescent="0.25">
      <c r="B221" s="9"/>
      <c r="C221" s="10"/>
    </row>
    <row r="222" spans="2:3" ht="12.5" x14ac:dyDescent="0.25">
      <c r="B222" s="9"/>
      <c r="C222" s="10"/>
    </row>
    <row r="223" spans="2:3" ht="12.5" x14ac:dyDescent="0.25">
      <c r="B223" s="9"/>
      <c r="C223" s="10"/>
    </row>
    <row r="224" spans="2:3" ht="12.5" x14ac:dyDescent="0.25">
      <c r="B224" s="9"/>
      <c r="C224" s="10"/>
    </row>
    <row r="225" spans="2:3" ht="12.5" x14ac:dyDescent="0.25">
      <c r="B225" s="9"/>
      <c r="C225" s="10"/>
    </row>
    <row r="226" spans="2:3" ht="12.5" x14ac:dyDescent="0.25">
      <c r="B226" s="9"/>
      <c r="C226" s="10"/>
    </row>
    <row r="227" spans="2:3" ht="12.5" x14ac:dyDescent="0.25">
      <c r="B227" s="9"/>
      <c r="C227" s="10"/>
    </row>
    <row r="228" spans="2:3" ht="12.5" x14ac:dyDescent="0.25">
      <c r="B228" s="9"/>
      <c r="C228" s="10"/>
    </row>
    <row r="229" spans="2:3" ht="12.5" x14ac:dyDescent="0.25">
      <c r="B229" s="9"/>
      <c r="C229" s="10"/>
    </row>
    <row r="230" spans="2:3" ht="12.5" x14ac:dyDescent="0.25">
      <c r="B230" s="9"/>
      <c r="C230" s="10"/>
    </row>
    <row r="231" spans="2:3" ht="12.5" x14ac:dyDescent="0.25">
      <c r="B231" s="9"/>
      <c r="C231" s="10"/>
    </row>
    <row r="232" spans="2:3" ht="12.5" x14ac:dyDescent="0.25">
      <c r="B232" s="9"/>
      <c r="C232" s="10"/>
    </row>
    <row r="233" spans="2:3" ht="12.5" x14ac:dyDescent="0.25">
      <c r="B233" s="9"/>
      <c r="C233" s="10"/>
    </row>
    <row r="234" spans="2:3" ht="12.5" x14ac:dyDescent="0.25">
      <c r="B234" s="9"/>
      <c r="C234" s="10"/>
    </row>
    <row r="235" spans="2:3" ht="12.5" x14ac:dyDescent="0.25">
      <c r="B235" s="9"/>
      <c r="C235" s="10"/>
    </row>
    <row r="236" spans="2:3" ht="12.5" x14ac:dyDescent="0.25">
      <c r="B236" s="9"/>
      <c r="C236" s="10"/>
    </row>
    <row r="237" spans="2:3" ht="12.5" x14ac:dyDescent="0.25">
      <c r="B237" s="9"/>
      <c r="C237" s="10"/>
    </row>
    <row r="238" spans="2:3" ht="12.5" x14ac:dyDescent="0.25">
      <c r="B238" s="9"/>
      <c r="C238" s="10"/>
    </row>
    <row r="239" spans="2:3" ht="12.5" x14ac:dyDescent="0.25">
      <c r="B239" s="9"/>
      <c r="C239" s="10"/>
    </row>
    <row r="240" spans="2:3" ht="12.5" x14ac:dyDescent="0.25">
      <c r="B240" s="9"/>
      <c r="C240" s="10"/>
    </row>
    <row r="241" spans="2:3" ht="12.5" x14ac:dyDescent="0.25">
      <c r="B241" s="9"/>
      <c r="C241" s="10"/>
    </row>
    <row r="242" spans="2:3" ht="12.5" x14ac:dyDescent="0.25">
      <c r="B242" s="9"/>
      <c r="C242" s="10"/>
    </row>
    <row r="243" spans="2:3" ht="12.5" x14ac:dyDescent="0.25">
      <c r="B243" s="9"/>
      <c r="C243" s="10"/>
    </row>
    <row r="244" spans="2:3" ht="12.5" x14ac:dyDescent="0.25">
      <c r="B244" s="9"/>
      <c r="C244" s="10"/>
    </row>
    <row r="245" spans="2:3" ht="12.5" x14ac:dyDescent="0.25">
      <c r="B245" s="9"/>
      <c r="C245" s="10"/>
    </row>
    <row r="246" spans="2:3" ht="12.5" x14ac:dyDescent="0.25">
      <c r="B246" s="9"/>
      <c r="C246" s="10"/>
    </row>
    <row r="247" spans="2:3" ht="12.5" x14ac:dyDescent="0.25">
      <c r="B247" s="9"/>
      <c r="C247" s="10"/>
    </row>
    <row r="248" spans="2:3" ht="12.5" x14ac:dyDescent="0.25">
      <c r="B248" s="9"/>
      <c r="C248" s="10"/>
    </row>
    <row r="249" spans="2:3" ht="12.5" x14ac:dyDescent="0.25">
      <c r="B249" s="9"/>
      <c r="C249" s="10"/>
    </row>
    <row r="250" spans="2:3" ht="12.5" x14ac:dyDescent="0.25">
      <c r="B250" s="9"/>
      <c r="C250" s="10"/>
    </row>
    <row r="251" spans="2:3" ht="12.5" x14ac:dyDescent="0.25">
      <c r="B251" s="9"/>
      <c r="C251" s="10"/>
    </row>
    <row r="252" spans="2:3" ht="12.5" x14ac:dyDescent="0.25">
      <c r="B252" s="9"/>
      <c r="C252" s="10"/>
    </row>
    <row r="253" spans="2:3" ht="12.5" x14ac:dyDescent="0.25">
      <c r="B253" s="9"/>
      <c r="C253" s="10"/>
    </row>
    <row r="254" spans="2:3" ht="12.5" x14ac:dyDescent="0.25">
      <c r="B254" s="9"/>
      <c r="C254" s="10"/>
    </row>
    <row r="255" spans="2:3" ht="12.5" x14ac:dyDescent="0.25">
      <c r="B255" s="9"/>
      <c r="C255" s="10"/>
    </row>
    <row r="256" spans="2:3" ht="12.5" x14ac:dyDescent="0.25">
      <c r="B256" s="9"/>
      <c r="C256" s="10"/>
    </row>
    <row r="257" spans="2:3" ht="12.5" x14ac:dyDescent="0.25">
      <c r="B257" s="9"/>
      <c r="C257" s="10"/>
    </row>
    <row r="258" spans="2:3" ht="12.5" x14ac:dyDescent="0.25">
      <c r="B258" s="9"/>
      <c r="C258" s="10"/>
    </row>
    <row r="259" spans="2:3" ht="12.5" x14ac:dyDescent="0.25">
      <c r="B259" s="9"/>
      <c r="C259" s="10"/>
    </row>
    <row r="260" spans="2:3" ht="12.5" x14ac:dyDescent="0.25">
      <c r="B260" s="9"/>
      <c r="C260" s="10"/>
    </row>
    <row r="261" spans="2:3" ht="12.5" x14ac:dyDescent="0.25">
      <c r="B261" s="9"/>
      <c r="C261" s="10"/>
    </row>
    <row r="262" spans="2:3" ht="12.5" x14ac:dyDescent="0.25">
      <c r="B262" s="9"/>
      <c r="C262" s="10"/>
    </row>
    <row r="263" spans="2:3" ht="12.5" x14ac:dyDescent="0.25">
      <c r="B263" s="9"/>
      <c r="C263" s="10"/>
    </row>
    <row r="264" spans="2:3" ht="12.5" x14ac:dyDescent="0.25">
      <c r="B264" s="9"/>
      <c r="C264" s="10"/>
    </row>
    <row r="265" spans="2:3" ht="12.5" x14ac:dyDescent="0.25">
      <c r="B265" s="9"/>
      <c r="C265" s="10"/>
    </row>
    <row r="266" spans="2:3" ht="12.5" x14ac:dyDescent="0.25">
      <c r="B266" s="9"/>
      <c r="C266" s="10"/>
    </row>
    <row r="267" spans="2:3" ht="12.5" x14ac:dyDescent="0.25">
      <c r="B267" s="9"/>
      <c r="C267" s="10"/>
    </row>
    <row r="268" spans="2:3" ht="12.5" x14ac:dyDescent="0.25">
      <c r="B268" s="9"/>
      <c r="C268" s="10"/>
    </row>
    <row r="269" spans="2:3" ht="12.5" x14ac:dyDescent="0.25">
      <c r="B269" s="9"/>
      <c r="C269" s="10"/>
    </row>
    <row r="270" spans="2:3" ht="12.5" x14ac:dyDescent="0.25">
      <c r="B270" s="9"/>
      <c r="C270" s="10"/>
    </row>
    <row r="271" spans="2:3" ht="12.5" x14ac:dyDescent="0.25">
      <c r="B271" s="9"/>
      <c r="C271" s="10"/>
    </row>
    <row r="272" spans="2:3" ht="12.5" x14ac:dyDescent="0.25">
      <c r="B272" s="9"/>
      <c r="C272" s="10"/>
    </row>
    <row r="273" spans="2:3" ht="12.5" x14ac:dyDescent="0.25">
      <c r="B273" s="9"/>
      <c r="C273" s="10"/>
    </row>
    <row r="274" spans="2:3" ht="12.5" x14ac:dyDescent="0.25">
      <c r="B274" s="9"/>
      <c r="C274" s="10"/>
    </row>
    <row r="275" spans="2:3" ht="12.5" x14ac:dyDescent="0.25">
      <c r="B275" s="9"/>
      <c r="C275" s="10"/>
    </row>
    <row r="276" spans="2:3" ht="12.5" x14ac:dyDescent="0.25">
      <c r="B276" s="9"/>
      <c r="C276" s="10"/>
    </row>
    <row r="277" spans="2:3" ht="12.5" x14ac:dyDescent="0.25">
      <c r="B277" s="9"/>
      <c r="C277" s="10"/>
    </row>
    <row r="278" spans="2:3" ht="12.5" x14ac:dyDescent="0.25">
      <c r="B278" s="9"/>
      <c r="C278" s="10"/>
    </row>
    <row r="279" spans="2:3" ht="12.5" x14ac:dyDescent="0.25">
      <c r="B279" s="9"/>
      <c r="C279" s="10"/>
    </row>
    <row r="280" spans="2:3" ht="12.5" x14ac:dyDescent="0.25">
      <c r="B280" s="9"/>
      <c r="C280" s="10"/>
    </row>
    <row r="281" spans="2:3" ht="12.5" x14ac:dyDescent="0.25">
      <c r="B281" s="9"/>
      <c r="C281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39F-D9EA-4790-A04F-7F13696D76DB}">
  <sheetPr filterMode="1"/>
  <dimension ref="C1:G281"/>
  <sheetViews>
    <sheetView zoomScale="41" workbookViewId="0">
      <selection activeCell="C146" sqref="C146:G179"/>
    </sheetView>
  </sheetViews>
  <sheetFormatPr defaultRowHeight="12.5" x14ac:dyDescent="0.25"/>
  <cols>
    <col min="3" max="3" width="37.6328125" style="11" customWidth="1"/>
    <col min="4" max="4" width="37.6328125" customWidth="1"/>
    <col min="5" max="5" width="33.90625" customWidth="1"/>
    <col min="6" max="6" width="34.7265625" customWidth="1"/>
    <col min="7" max="7" width="37.6328125" customWidth="1"/>
  </cols>
  <sheetData>
    <row r="1" spans="3:7" x14ac:dyDescent="0.25">
      <c r="C1" s="12" t="s">
        <v>184</v>
      </c>
      <c r="D1" s="13" t="s">
        <v>185</v>
      </c>
      <c r="E1" s="14" t="s">
        <v>186</v>
      </c>
      <c r="F1" s="14" t="s">
        <v>187</v>
      </c>
      <c r="G1" s="14" t="s">
        <v>188</v>
      </c>
    </row>
    <row r="2" spans="3:7" hidden="1" x14ac:dyDescent="0.25">
      <c r="C2" s="19">
        <v>25.582000000000001</v>
      </c>
      <c r="D2" s="6">
        <v>93</v>
      </c>
      <c r="E2" s="6" t="s">
        <v>15</v>
      </c>
      <c r="F2" s="6" t="s">
        <v>16</v>
      </c>
      <c r="G2" s="6" t="s">
        <v>17</v>
      </c>
    </row>
    <row r="3" spans="3:7" hidden="1" x14ac:dyDescent="0.25">
      <c r="C3" s="5">
        <v>26.6</v>
      </c>
      <c r="D3" s="3">
        <v>116</v>
      </c>
      <c r="E3" s="6" t="s">
        <v>23</v>
      </c>
      <c r="F3" s="6" t="s">
        <v>16</v>
      </c>
      <c r="G3" s="6" t="s">
        <v>17</v>
      </c>
    </row>
    <row r="4" spans="3:7" hidden="1" x14ac:dyDescent="0.25">
      <c r="C4" s="19">
        <v>27.25</v>
      </c>
      <c r="D4" s="3">
        <v>119</v>
      </c>
      <c r="E4" s="6" t="s">
        <v>15</v>
      </c>
      <c r="F4" s="6" t="s">
        <v>16</v>
      </c>
      <c r="G4" s="6" t="s">
        <v>24</v>
      </c>
    </row>
    <row r="5" spans="3:7" hidden="1" x14ac:dyDescent="0.25">
      <c r="C5" s="19">
        <v>27.28</v>
      </c>
      <c r="D5" s="6">
        <v>125</v>
      </c>
      <c r="E5" s="6" t="s">
        <v>15</v>
      </c>
      <c r="F5" s="6" t="s">
        <v>16</v>
      </c>
      <c r="G5" s="6" t="s">
        <v>24</v>
      </c>
    </row>
    <row r="6" spans="3:7" hidden="1" x14ac:dyDescent="0.25">
      <c r="C6" s="19">
        <v>27.4</v>
      </c>
      <c r="D6" s="6">
        <v>109</v>
      </c>
      <c r="E6" s="6" t="s">
        <v>15</v>
      </c>
      <c r="F6" s="6" t="s">
        <v>16</v>
      </c>
      <c r="G6" s="6" t="s">
        <v>24</v>
      </c>
    </row>
    <row r="7" spans="3:7" hidden="1" x14ac:dyDescent="0.25">
      <c r="C7" s="19">
        <v>27.6</v>
      </c>
      <c r="D7" s="3">
        <v>121</v>
      </c>
      <c r="E7" s="6" t="s">
        <v>15</v>
      </c>
      <c r="F7" s="6" t="s">
        <v>16</v>
      </c>
      <c r="G7" s="6" t="s">
        <v>24</v>
      </c>
    </row>
    <row r="8" spans="3:7" hidden="1" x14ac:dyDescent="0.25">
      <c r="C8" s="19">
        <v>27.69</v>
      </c>
      <c r="D8" s="3">
        <v>108</v>
      </c>
      <c r="E8" s="6" t="s">
        <v>15</v>
      </c>
      <c r="F8" s="6" t="s">
        <v>16</v>
      </c>
      <c r="G8" s="6" t="s">
        <v>24</v>
      </c>
    </row>
    <row r="9" spans="3:7" hidden="1" x14ac:dyDescent="0.25">
      <c r="C9" s="19">
        <v>27.7</v>
      </c>
      <c r="D9" s="3" t="s">
        <v>28</v>
      </c>
      <c r="E9" s="6" t="s">
        <v>15</v>
      </c>
      <c r="F9" s="6" t="s">
        <v>16</v>
      </c>
      <c r="G9" s="6" t="s">
        <v>24</v>
      </c>
    </row>
    <row r="10" spans="3:7" hidden="1" x14ac:dyDescent="0.25">
      <c r="C10" s="19">
        <v>27.8</v>
      </c>
      <c r="D10" s="3">
        <v>120</v>
      </c>
      <c r="E10" s="6" t="s">
        <v>15</v>
      </c>
      <c r="F10" s="6" t="s">
        <v>16</v>
      </c>
      <c r="G10" s="6" t="s">
        <v>24</v>
      </c>
    </row>
    <row r="11" spans="3:7" hidden="1" x14ac:dyDescent="0.25">
      <c r="C11" s="19">
        <v>27.9</v>
      </c>
      <c r="D11" s="3">
        <v>116</v>
      </c>
      <c r="E11" s="6" t="s">
        <v>15</v>
      </c>
      <c r="F11" s="6" t="s">
        <v>16</v>
      </c>
      <c r="G11" s="6" t="s">
        <v>24</v>
      </c>
    </row>
    <row r="12" spans="3:7" hidden="1" x14ac:dyDescent="0.25">
      <c r="C12" s="19">
        <v>28.2</v>
      </c>
      <c r="D12" s="3">
        <v>119</v>
      </c>
      <c r="E12" s="6" t="s">
        <v>15</v>
      </c>
      <c r="F12" s="6" t="s">
        <v>16</v>
      </c>
      <c r="G12" s="6" t="s">
        <v>24</v>
      </c>
    </row>
    <row r="13" spans="3:7" hidden="1" x14ac:dyDescent="0.25">
      <c r="C13" s="19">
        <v>28.4</v>
      </c>
      <c r="D13" s="3">
        <v>126</v>
      </c>
      <c r="E13" s="6" t="s">
        <v>15</v>
      </c>
      <c r="F13" s="6" t="s">
        <v>16</v>
      </c>
      <c r="G13" s="6" t="s">
        <v>24</v>
      </c>
    </row>
    <row r="14" spans="3:7" hidden="1" x14ac:dyDescent="0.25">
      <c r="C14" s="19">
        <v>28.63</v>
      </c>
      <c r="D14" s="3">
        <v>119</v>
      </c>
      <c r="E14" s="6" t="s">
        <v>15</v>
      </c>
      <c r="F14" s="6" t="s">
        <v>16</v>
      </c>
      <c r="G14" s="6" t="s">
        <v>24</v>
      </c>
    </row>
    <row r="15" spans="3:7" hidden="1" x14ac:dyDescent="0.25">
      <c r="C15" s="19">
        <v>28.87</v>
      </c>
      <c r="D15" s="3">
        <v>119</v>
      </c>
      <c r="E15" s="6" t="s">
        <v>15</v>
      </c>
      <c r="F15" s="6" t="s">
        <v>16</v>
      </c>
      <c r="G15" s="6" t="s">
        <v>24</v>
      </c>
    </row>
    <row r="16" spans="3:7" hidden="1" x14ac:dyDescent="0.25">
      <c r="C16" s="19">
        <v>29</v>
      </c>
      <c r="D16" s="3">
        <v>112</v>
      </c>
      <c r="E16" s="6" t="s">
        <v>15</v>
      </c>
      <c r="F16" s="6" t="s">
        <v>16</v>
      </c>
      <c r="G16" s="6" t="s">
        <v>24</v>
      </c>
    </row>
    <row r="17" spans="3:7" hidden="1" x14ac:dyDescent="0.25">
      <c r="C17" s="20" t="s">
        <v>32</v>
      </c>
      <c r="D17" s="3">
        <v>115</v>
      </c>
      <c r="E17" s="6" t="s">
        <v>15</v>
      </c>
      <c r="F17" s="6" t="s">
        <v>16</v>
      </c>
      <c r="G17" s="6" t="s">
        <v>24</v>
      </c>
    </row>
    <row r="18" spans="3:7" hidden="1" x14ac:dyDescent="0.25">
      <c r="C18" s="20" t="s">
        <v>33</v>
      </c>
      <c r="D18" s="3">
        <v>108</v>
      </c>
      <c r="E18" s="6" t="s">
        <v>15</v>
      </c>
      <c r="F18" s="6" t="s">
        <v>16</v>
      </c>
      <c r="G18" s="6" t="s">
        <v>24</v>
      </c>
    </row>
    <row r="19" spans="3:7" hidden="1" x14ac:dyDescent="0.25">
      <c r="C19" s="7">
        <v>27.22</v>
      </c>
      <c r="D19" s="6">
        <v>119</v>
      </c>
      <c r="E19" s="6" t="s">
        <v>15</v>
      </c>
      <c r="F19" s="6" t="s">
        <v>16</v>
      </c>
      <c r="G19" s="6" t="s">
        <v>24</v>
      </c>
    </row>
    <row r="20" spans="3:7" hidden="1" x14ac:dyDescent="0.25">
      <c r="C20" s="7">
        <v>27.31</v>
      </c>
      <c r="D20" s="6">
        <v>108</v>
      </c>
      <c r="E20" s="6" t="s">
        <v>15</v>
      </c>
      <c r="F20" s="6" t="s">
        <v>16</v>
      </c>
      <c r="G20" s="6" t="s">
        <v>24</v>
      </c>
    </row>
    <row r="21" spans="3:7" hidden="1" x14ac:dyDescent="0.25">
      <c r="C21" s="7">
        <v>27.47</v>
      </c>
      <c r="D21" s="6">
        <v>122</v>
      </c>
      <c r="E21" s="6" t="s">
        <v>37</v>
      </c>
      <c r="F21" s="6" t="s">
        <v>16</v>
      </c>
      <c r="G21" s="6" t="s">
        <v>24</v>
      </c>
    </row>
    <row r="22" spans="3:7" hidden="1" x14ac:dyDescent="0.25">
      <c r="C22" s="7">
        <v>27.84</v>
      </c>
      <c r="D22" s="6" t="s">
        <v>40</v>
      </c>
      <c r="E22" s="6" t="s">
        <v>41</v>
      </c>
      <c r="F22" s="6" t="s">
        <v>16</v>
      </c>
      <c r="G22" s="6" t="s">
        <v>24</v>
      </c>
    </row>
    <row r="23" spans="3:7" hidden="1" x14ac:dyDescent="0.25">
      <c r="C23" s="7">
        <v>28.18</v>
      </c>
      <c r="D23" s="6">
        <v>116</v>
      </c>
      <c r="E23" s="6" t="s">
        <v>15</v>
      </c>
      <c r="F23" s="6" t="s">
        <v>16</v>
      </c>
      <c r="G23" s="6" t="s">
        <v>24</v>
      </c>
    </row>
    <row r="24" spans="3:7" hidden="1" x14ac:dyDescent="0.25">
      <c r="C24" s="7">
        <v>28.29</v>
      </c>
      <c r="D24" s="3">
        <v>110</v>
      </c>
      <c r="E24" s="6" t="s">
        <v>15</v>
      </c>
      <c r="F24" s="6" t="s">
        <v>16</v>
      </c>
      <c r="G24" s="6" t="s">
        <v>24</v>
      </c>
    </row>
    <row r="25" spans="3:7" hidden="1" x14ac:dyDescent="0.25">
      <c r="C25" s="7">
        <v>28.71</v>
      </c>
      <c r="D25" s="6">
        <v>120</v>
      </c>
      <c r="E25" s="6" t="s">
        <v>46</v>
      </c>
      <c r="F25" s="6" t="s">
        <v>16</v>
      </c>
      <c r="G25" s="6" t="s">
        <v>24</v>
      </c>
    </row>
    <row r="26" spans="3:7" hidden="1" x14ac:dyDescent="0.25">
      <c r="C26" s="7">
        <v>28.83</v>
      </c>
      <c r="D26" s="6">
        <v>119</v>
      </c>
      <c r="E26" s="6" t="s">
        <v>15</v>
      </c>
      <c r="F26" s="6" t="s">
        <v>16</v>
      </c>
      <c r="G26" s="6" t="s">
        <v>24</v>
      </c>
    </row>
    <row r="27" spans="3:7" hidden="1" x14ac:dyDescent="0.25">
      <c r="C27" s="7">
        <v>28.89</v>
      </c>
      <c r="D27" s="6">
        <v>112</v>
      </c>
      <c r="E27" s="6" t="s">
        <v>15</v>
      </c>
      <c r="F27" s="6" t="s">
        <v>16</v>
      </c>
      <c r="G27" s="6" t="s">
        <v>24</v>
      </c>
    </row>
    <row r="28" spans="3:7" hidden="1" x14ac:dyDescent="0.25">
      <c r="C28" s="7">
        <v>28.9</v>
      </c>
      <c r="D28" s="3">
        <v>119</v>
      </c>
      <c r="E28" s="6" t="s">
        <v>15</v>
      </c>
      <c r="F28" s="6" t="s">
        <v>16</v>
      </c>
      <c r="G28" s="6" t="s">
        <v>24</v>
      </c>
    </row>
    <row r="29" spans="3:7" hidden="1" x14ac:dyDescent="0.25">
      <c r="C29" s="7">
        <v>29.05</v>
      </c>
      <c r="D29" s="6">
        <v>122</v>
      </c>
      <c r="E29" s="6" t="s">
        <v>15</v>
      </c>
      <c r="F29" s="6" t="s">
        <v>16</v>
      </c>
      <c r="G29" s="6" t="s">
        <v>24</v>
      </c>
    </row>
    <row r="30" spans="3:7" hidden="1" x14ac:dyDescent="0.25">
      <c r="C30" s="5">
        <v>29.1</v>
      </c>
      <c r="D30" s="3">
        <v>119</v>
      </c>
      <c r="E30" s="6" t="s">
        <v>15</v>
      </c>
      <c r="F30" s="6" t="s">
        <v>16</v>
      </c>
      <c r="G30" s="6" t="s">
        <v>24</v>
      </c>
    </row>
    <row r="31" spans="3:7" hidden="1" x14ac:dyDescent="0.25">
      <c r="C31" s="7">
        <v>29.42</v>
      </c>
      <c r="D31" s="3">
        <v>125</v>
      </c>
      <c r="E31" s="6" t="s">
        <v>37</v>
      </c>
      <c r="F31" s="6" t="s">
        <v>16</v>
      </c>
      <c r="G31" s="6" t="s">
        <v>24</v>
      </c>
    </row>
    <row r="32" spans="3:7" hidden="1" x14ac:dyDescent="0.25">
      <c r="C32" s="7">
        <v>29.52</v>
      </c>
      <c r="D32" s="3">
        <v>115</v>
      </c>
      <c r="E32" s="6" t="s">
        <v>15</v>
      </c>
      <c r="F32" s="6" t="s">
        <v>16</v>
      </c>
      <c r="G32" s="6" t="s">
        <v>24</v>
      </c>
    </row>
    <row r="33" spans="3:7" hidden="1" x14ac:dyDescent="0.25">
      <c r="C33" s="7">
        <v>30.02</v>
      </c>
      <c r="D33" s="6">
        <v>122</v>
      </c>
      <c r="E33" s="6" t="s">
        <v>41</v>
      </c>
      <c r="F33" s="6" t="s">
        <v>16</v>
      </c>
      <c r="G33" s="6" t="s">
        <v>24</v>
      </c>
    </row>
    <row r="34" spans="3:7" hidden="1" x14ac:dyDescent="0.25">
      <c r="C34" s="20">
        <v>27.25</v>
      </c>
      <c r="D34" s="6">
        <v>112</v>
      </c>
      <c r="E34" s="6" t="s">
        <v>15</v>
      </c>
      <c r="F34" s="6" t="s">
        <v>16</v>
      </c>
      <c r="G34" s="6" t="s">
        <v>24</v>
      </c>
    </row>
    <row r="35" spans="3:7" hidden="1" x14ac:dyDescent="0.25">
      <c r="C35" s="19">
        <v>26</v>
      </c>
      <c r="D35" s="6">
        <v>111</v>
      </c>
      <c r="E35" s="6" t="s">
        <v>56</v>
      </c>
      <c r="F35" s="6" t="s">
        <v>16</v>
      </c>
      <c r="G35" s="6" t="s">
        <v>57</v>
      </c>
    </row>
    <row r="36" spans="3:7" hidden="1" x14ac:dyDescent="0.25">
      <c r="C36" s="19">
        <v>30.05</v>
      </c>
      <c r="D36" s="6">
        <v>119</v>
      </c>
      <c r="E36" s="6" t="s">
        <v>58</v>
      </c>
      <c r="F36" s="6" t="s">
        <v>16</v>
      </c>
      <c r="G36" s="6" t="s">
        <v>57</v>
      </c>
    </row>
    <row r="37" spans="3:7" hidden="1" x14ac:dyDescent="0.25">
      <c r="C37" s="7">
        <v>29.65</v>
      </c>
      <c r="D37" s="3" t="s">
        <v>60</v>
      </c>
      <c r="E37" s="6" t="s">
        <v>58</v>
      </c>
      <c r="F37" s="6" t="s">
        <v>16</v>
      </c>
      <c r="G37" s="6" t="s">
        <v>57</v>
      </c>
    </row>
    <row r="38" spans="3:7" hidden="1" x14ac:dyDescent="0.25">
      <c r="C38" s="19">
        <v>27.71</v>
      </c>
      <c r="D38" s="3">
        <v>119</v>
      </c>
      <c r="E38" s="6" t="s">
        <v>15</v>
      </c>
      <c r="F38" s="6" t="s">
        <v>16</v>
      </c>
      <c r="G38" s="6" t="s">
        <v>61</v>
      </c>
    </row>
    <row r="39" spans="3:7" hidden="1" x14ac:dyDescent="0.25">
      <c r="C39" s="7">
        <v>27.52</v>
      </c>
      <c r="D39" s="6">
        <v>120</v>
      </c>
      <c r="E39" s="6" t="s">
        <v>37</v>
      </c>
      <c r="F39" s="6" t="s">
        <v>16</v>
      </c>
      <c r="G39" s="6" t="s">
        <v>61</v>
      </c>
    </row>
    <row r="40" spans="3:7" hidden="1" x14ac:dyDescent="0.25">
      <c r="C40" s="7">
        <v>28.04</v>
      </c>
      <c r="D40" s="3">
        <v>104</v>
      </c>
      <c r="E40" s="6" t="s">
        <v>15</v>
      </c>
      <c r="F40" s="6" t="s">
        <v>16</v>
      </c>
      <c r="G40" s="6" t="s">
        <v>61</v>
      </c>
    </row>
    <row r="41" spans="3:7" hidden="1" x14ac:dyDescent="0.25">
      <c r="C41" s="19">
        <v>25.22</v>
      </c>
      <c r="D41" s="3">
        <v>111</v>
      </c>
      <c r="E41" s="6" t="s">
        <v>15</v>
      </c>
      <c r="F41" s="6" t="s">
        <v>16</v>
      </c>
      <c r="G41" s="6" t="s">
        <v>30</v>
      </c>
    </row>
    <row r="42" spans="3:7" hidden="1" x14ac:dyDescent="0.25">
      <c r="C42" s="7">
        <v>24.06</v>
      </c>
      <c r="D42" s="6">
        <v>109</v>
      </c>
      <c r="E42" s="6" t="s">
        <v>58</v>
      </c>
      <c r="F42" s="6" t="s">
        <v>16</v>
      </c>
      <c r="G42" s="6" t="s">
        <v>30</v>
      </c>
    </row>
    <row r="43" spans="3:7" hidden="1" x14ac:dyDescent="0.25">
      <c r="C43" s="7">
        <v>25.38</v>
      </c>
      <c r="D43" s="3" t="s">
        <v>68</v>
      </c>
      <c r="E43" s="6" t="s">
        <v>15</v>
      </c>
      <c r="F43" s="6" t="s">
        <v>16</v>
      </c>
      <c r="G43" s="6" t="s">
        <v>30</v>
      </c>
    </row>
    <row r="44" spans="3:7" hidden="1" x14ac:dyDescent="0.25">
      <c r="C44" s="19">
        <v>26.7</v>
      </c>
      <c r="D44" s="6">
        <v>117</v>
      </c>
      <c r="E44" s="6" t="s">
        <v>15</v>
      </c>
      <c r="F44" s="6" t="s">
        <v>16</v>
      </c>
      <c r="G44" s="6" t="s">
        <v>30</v>
      </c>
    </row>
    <row r="45" spans="3:7" hidden="1" x14ac:dyDescent="0.25">
      <c r="C45" s="7">
        <v>27.13</v>
      </c>
      <c r="D45" s="6">
        <v>116</v>
      </c>
      <c r="E45" s="6" t="s">
        <v>70</v>
      </c>
      <c r="F45" s="6" t="s">
        <v>16</v>
      </c>
      <c r="G45" s="6" t="s">
        <v>20</v>
      </c>
    </row>
    <row r="46" spans="3:7" hidden="1" x14ac:dyDescent="0.25">
      <c r="C46" s="7">
        <v>27.54</v>
      </c>
      <c r="D46" s="6">
        <v>120</v>
      </c>
      <c r="E46" s="6" t="s">
        <v>58</v>
      </c>
      <c r="F46" s="6" t="s">
        <v>16</v>
      </c>
      <c r="G46" s="6" t="s">
        <v>20</v>
      </c>
    </row>
    <row r="47" spans="3:7" hidden="1" x14ac:dyDescent="0.25">
      <c r="C47" s="7">
        <v>27.55</v>
      </c>
      <c r="D47" s="6">
        <v>113</v>
      </c>
      <c r="E47" s="6" t="s">
        <v>15</v>
      </c>
      <c r="F47" s="6" t="s">
        <v>16</v>
      </c>
      <c r="G47" s="6" t="s">
        <v>20</v>
      </c>
    </row>
    <row r="48" spans="3:7" hidden="1" x14ac:dyDescent="0.25">
      <c r="C48" s="7">
        <v>27.63</v>
      </c>
      <c r="D48" s="6">
        <v>109</v>
      </c>
      <c r="E48" s="6" t="s">
        <v>15</v>
      </c>
      <c r="F48" s="6" t="s">
        <v>16</v>
      </c>
      <c r="G48" s="6" t="s">
        <v>20</v>
      </c>
    </row>
    <row r="49" spans="3:7" hidden="1" x14ac:dyDescent="0.25">
      <c r="C49" s="5">
        <v>28.6</v>
      </c>
      <c r="D49" s="3">
        <v>116</v>
      </c>
      <c r="E49" s="6" t="s">
        <v>46</v>
      </c>
      <c r="F49" s="6" t="s">
        <v>16</v>
      </c>
      <c r="G49" s="6" t="s">
        <v>20</v>
      </c>
    </row>
    <row r="50" spans="3:7" hidden="1" x14ac:dyDescent="0.25">
      <c r="C50" s="5">
        <v>28.9</v>
      </c>
      <c r="D50" s="6">
        <v>118</v>
      </c>
      <c r="E50" s="6" t="s">
        <v>37</v>
      </c>
      <c r="F50" s="6" t="s">
        <v>16</v>
      </c>
      <c r="G50" s="6" t="s">
        <v>20</v>
      </c>
    </row>
    <row r="51" spans="3:7" hidden="1" x14ac:dyDescent="0.25">
      <c r="C51" s="19">
        <v>26.6</v>
      </c>
      <c r="D51" s="3">
        <v>118</v>
      </c>
      <c r="E51" s="6" t="s">
        <v>15</v>
      </c>
      <c r="F51" s="6" t="s">
        <v>16</v>
      </c>
      <c r="G51" s="6" t="s">
        <v>76</v>
      </c>
    </row>
    <row r="52" spans="3:7" hidden="1" x14ac:dyDescent="0.25">
      <c r="C52" s="19">
        <v>28.03</v>
      </c>
      <c r="D52" s="3">
        <v>125</v>
      </c>
      <c r="E52" s="6" t="s">
        <v>15</v>
      </c>
      <c r="F52" s="6" t="s">
        <v>16</v>
      </c>
      <c r="G52" s="6" t="s">
        <v>76</v>
      </c>
    </row>
    <row r="53" spans="3:7" hidden="1" x14ac:dyDescent="0.25">
      <c r="C53" s="7">
        <v>25.96</v>
      </c>
      <c r="D53" s="3">
        <v>100</v>
      </c>
      <c r="E53" s="6" t="s">
        <v>15</v>
      </c>
      <c r="F53" s="6" t="s">
        <v>16</v>
      </c>
      <c r="G53" s="6" t="s">
        <v>76</v>
      </c>
    </row>
    <row r="54" spans="3:7" hidden="1" x14ac:dyDescent="0.25">
      <c r="C54" s="7">
        <v>26.13</v>
      </c>
      <c r="D54" s="3">
        <v>109</v>
      </c>
      <c r="E54" s="6" t="s">
        <v>15</v>
      </c>
      <c r="F54" s="6" t="s">
        <v>16</v>
      </c>
      <c r="G54" s="6" t="s">
        <v>76</v>
      </c>
    </row>
    <row r="55" spans="3:7" hidden="1" x14ac:dyDescent="0.25">
      <c r="C55" s="7">
        <v>26.14</v>
      </c>
      <c r="D55" s="3">
        <v>103</v>
      </c>
      <c r="E55" s="6" t="s">
        <v>15</v>
      </c>
      <c r="F55" s="6" t="s">
        <v>16</v>
      </c>
      <c r="G55" s="6" t="s">
        <v>76</v>
      </c>
    </row>
    <row r="56" spans="3:7" hidden="1" x14ac:dyDescent="0.25">
      <c r="C56" s="7">
        <v>26.25</v>
      </c>
      <c r="D56" s="3">
        <v>125</v>
      </c>
      <c r="E56" s="6" t="s">
        <v>15</v>
      </c>
      <c r="F56" s="6" t="s">
        <v>16</v>
      </c>
      <c r="G56" s="6" t="s">
        <v>76</v>
      </c>
    </row>
    <row r="57" spans="3:7" hidden="1" x14ac:dyDescent="0.25">
      <c r="C57" s="7">
        <v>26.61</v>
      </c>
      <c r="D57" s="6">
        <v>103</v>
      </c>
      <c r="E57" s="6" t="s">
        <v>15</v>
      </c>
      <c r="F57" s="6" t="s">
        <v>16</v>
      </c>
      <c r="G57" s="6" t="s">
        <v>76</v>
      </c>
    </row>
    <row r="58" spans="3:7" hidden="1" x14ac:dyDescent="0.25">
      <c r="C58" s="7">
        <v>26.79</v>
      </c>
      <c r="D58" s="3">
        <v>97</v>
      </c>
      <c r="E58" s="6" t="s">
        <v>37</v>
      </c>
      <c r="F58" s="6" t="s">
        <v>16</v>
      </c>
      <c r="G58" s="6" t="s">
        <v>76</v>
      </c>
    </row>
    <row r="59" spans="3:7" hidden="1" x14ac:dyDescent="0.25">
      <c r="C59" s="5">
        <v>26.8</v>
      </c>
      <c r="D59" s="3">
        <v>105</v>
      </c>
      <c r="E59" s="6" t="s">
        <v>37</v>
      </c>
      <c r="F59" s="6" t="s">
        <v>16</v>
      </c>
      <c r="G59" s="6" t="s">
        <v>76</v>
      </c>
    </row>
    <row r="60" spans="3:7" hidden="1" x14ac:dyDescent="0.25">
      <c r="C60" s="7">
        <v>27.59</v>
      </c>
      <c r="D60" s="3">
        <v>119</v>
      </c>
      <c r="E60" s="6" t="s">
        <v>15</v>
      </c>
      <c r="F60" s="6" t="s">
        <v>16</v>
      </c>
      <c r="G60" s="6" t="s">
        <v>76</v>
      </c>
    </row>
    <row r="61" spans="3:7" hidden="1" x14ac:dyDescent="0.25">
      <c r="C61" s="7">
        <v>28.48</v>
      </c>
      <c r="D61" s="3">
        <v>115</v>
      </c>
      <c r="E61" s="6" t="s">
        <v>15</v>
      </c>
      <c r="F61" s="6" t="s">
        <v>16</v>
      </c>
      <c r="G61" s="6" t="s">
        <v>76</v>
      </c>
    </row>
    <row r="62" spans="3:7" hidden="1" x14ac:dyDescent="0.25">
      <c r="C62" s="5">
        <v>26.8</v>
      </c>
      <c r="D62" s="6">
        <v>129</v>
      </c>
      <c r="E62" s="6" t="s">
        <v>15</v>
      </c>
      <c r="F62" s="6" t="s">
        <v>16</v>
      </c>
      <c r="G62" s="6" t="s">
        <v>76</v>
      </c>
    </row>
    <row r="63" spans="3:7" hidden="1" x14ac:dyDescent="0.25">
      <c r="C63" s="19">
        <v>26.9</v>
      </c>
      <c r="D63" s="3">
        <v>119</v>
      </c>
      <c r="E63" s="6" t="s">
        <v>41</v>
      </c>
      <c r="F63" s="6" t="s">
        <v>16</v>
      </c>
      <c r="G63" s="6" t="s">
        <v>42</v>
      </c>
    </row>
    <row r="64" spans="3:7" hidden="1" x14ac:dyDescent="0.25">
      <c r="C64" s="19">
        <v>29.984999999999999</v>
      </c>
      <c r="D64" s="6">
        <v>126</v>
      </c>
      <c r="E64" s="6" t="s">
        <v>86</v>
      </c>
      <c r="F64" s="6" t="s">
        <v>16</v>
      </c>
      <c r="G64" s="6" t="s">
        <v>42</v>
      </c>
    </row>
    <row r="65" spans="3:7" hidden="1" x14ac:dyDescent="0.25">
      <c r="C65" s="7">
        <v>28</v>
      </c>
      <c r="D65" s="3">
        <v>113</v>
      </c>
      <c r="E65" s="6" t="s">
        <v>86</v>
      </c>
      <c r="F65" s="6" t="s">
        <v>16</v>
      </c>
      <c r="G65" s="6" t="s">
        <v>42</v>
      </c>
    </row>
    <row r="66" spans="3:7" hidden="1" x14ac:dyDescent="0.25">
      <c r="C66" s="7">
        <v>28.19</v>
      </c>
      <c r="D66" s="6">
        <v>126</v>
      </c>
      <c r="E66" s="6" t="s">
        <v>86</v>
      </c>
      <c r="F66" s="6" t="s">
        <v>16</v>
      </c>
      <c r="G66" s="6" t="s">
        <v>42</v>
      </c>
    </row>
    <row r="67" spans="3:7" hidden="1" x14ac:dyDescent="0.25">
      <c r="C67" s="7">
        <v>29.73</v>
      </c>
      <c r="D67" s="3">
        <v>133</v>
      </c>
      <c r="E67" s="6" t="s">
        <v>86</v>
      </c>
      <c r="F67" s="6" t="s">
        <v>16</v>
      </c>
      <c r="G67" s="6" t="s">
        <v>42</v>
      </c>
    </row>
    <row r="68" spans="3:7" hidden="1" x14ac:dyDescent="0.25">
      <c r="C68" s="7">
        <v>30.07</v>
      </c>
      <c r="D68" s="6">
        <v>123</v>
      </c>
      <c r="E68" s="6" t="s">
        <v>70</v>
      </c>
      <c r="F68" s="6" t="s">
        <v>16</v>
      </c>
      <c r="G68" s="6" t="s">
        <v>42</v>
      </c>
    </row>
    <row r="69" spans="3:7" hidden="1" x14ac:dyDescent="0.25">
      <c r="C69" s="7">
        <v>30.11</v>
      </c>
      <c r="D69" s="6">
        <v>126</v>
      </c>
      <c r="E69" s="6" t="s">
        <v>86</v>
      </c>
      <c r="F69" s="6" t="s">
        <v>16</v>
      </c>
      <c r="G69" s="6" t="s">
        <v>42</v>
      </c>
    </row>
    <row r="70" spans="3:7" hidden="1" x14ac:dyDescent="0.25">
      <c r="C70" s="19">
        <v>28.51</v>
      </c>
      <c r="D70" s="6">
        <v>125</v>
      </c>
      <c r="E70" s="6" t="s">
        <v>15</v>
      </c>
      <c r="F70" s="6" t="s">
        <v>16</v>
      </c>
      <c r="G70" s="6" t="s">
        <v>31</v>
      </c>
    </row>
    <row r="71" spans="3:7" hidden="1" x14ac:dyDescent="0.25">
      <c r="C71" s="19">
        <v>28.83</v>
      </c>
      <c r="D71" s="3">
        <v>115</v>
      </c>
      <c r="E71" s="6" t="s">
        <v>15</v>
      </c>
      <c r="F71" s="6" t="s">
        <v>16</v>
      </c>
      <c r="G71" s="6" t="s">
        <v>31</v>
      </c>
    </row>
    <row r="72" spans="3:7" hidden="1" x14ac:dyDescent="0.25">
      <c r="C72" s="19">
        <v>29</v>
      </c>
      <c r="D72" s="3">
        <v>124</v>
      </c>
      <c r="E72" s="6" t="s">
        <v>15</v>
      </c>
      <c r="F72" s="6" t="s">
        <v>16</v>
      </c>
      <c r="G72" s="6" t="s">
        <v>31</v>
      </c>
    </row>
    <row r="73" spans="3:7" hidden="1" x14ac:dyDescent="0.25">
      <c r="C73" s="19">
        <v>30.06</v>
      </c>
      <c r="D73" s="3">
        <v>116</v>
      </c>
      <c r="E73" s="6" t="s">
        <v>15</v>
      </c>
      <c r="F73" s="6" t="s">
        <v>16</v>
      </c>
      <c r="G73" s="6" t="s">
        <v>31</v>
      </c>
    </row>
    <row r="74" spans="3:7" hidden="1" x14ac:dyDescent="0.25">
      <c r="C74" s="7">
        <v>28.68</v>
      </c>
      <c r="D74" s="3">
        <v>118</v>
      </c>
      <c r="E74" s="6" t="s">
        <v>15</v>
      </c>
      <c r="F74" s="6" t="s">
        <v>16</v>
      </c>
      <c r="G74" s="6" t="s">
        <v>31</v>
      </c>
    </row>
    <row r="75" spans="3:7" hidden="1" x14ac:dyDescent="0.25">
      <c r="C75" s="7">
        <v>28.69</v>
      </c>
      <c r="D75" s="6">
        <v>122</v>
      </c>
      <c r="E75" s="6" t="s">
        <v>23</v>
      </c>
      <c r="F75" s="6" t="s">
        <v>16</v>
      </c>
      <c r="G75" s="6" t="s">
        <v>31</v>
      </c>
    </row>
    <row r="76" spans="3:7" hidden="1" x14ac:dyDescent="0.25">
      <c r="C76" s="7">
        <v>28.75</v>
      </c>
      <c r="D76" s="3">
        <v>118</v>
      </c>
      <c r="E76" s="6" t="s">
        <v>15</v>
      </c>
      <c r="F76" s="6" t="s">
        <v>16</v>
      </c>
      <c r="G76" s="6" t="s">
        <v>31</v>
      </c>
    </row>
    <row r="77" spans="3:7" hidden="1" x14ac:dyDescent="0.25">
      <c r="C77" s="7">
        <v>28.82</v>
      </c>
      <c r="D77" s="3">
        <v>109</v>
      </c>
      <c r="E77" s="6" t="s">
        <v>15</v>
      </c>
      <c r="F77" s="6" t="s">
        <v>16</v>
      </c>
      <c r="G77" s="6" t="s">
        <v>31</v>
      </c>
    </row>
    <row r="78" spans="3:7" hidden="1" x14ac:dyDescent="0.25">
      <c r="C78" s="7">
        <v>28.83</v>
      </c>
      <c r="D78" s="6">
        <v>100</v>
      </c>
      <c r="E78" s="6" t="s">
        <v>15</v>
      </c>
      <c r="F78" s="6" t="s">
        <v>16</v>
      </c>
      <c r="G78" s="6" t="s">
        <v>31</v>
      </c>
    </row>
    <row r="79" spans="3:7" hidden="1" x14ac:dyDescent="0.25">
      <c r="C79" s="7">
        <v>28.87</v>
      </c>
      <c r="D79" s="3">
        <v>116</v>
      </c>
      <c r="E79" s="6" t="s">
        <v>15</v>
      </c>
      <c r="F79" s="6" t="s">
        <v>16</v>
      </c>
      <c r="G79" s="6" t="s">
        <v>31</v>
      </c>
    </row>
    <row r="80" spans="3:7" hidden="1" x14ac:dyDescent="0.25">
      <c r="C80" s="5">
        <v>28.9</v>
      </c>
      <c r="D80" s="3">
        <v>107</v>
      </c>
      <c r="E80" s="6" t="s">
        <v>56</v>
      </c>
      <c r="F80" s="6" t="s">
        <v>16</v>
      </c>
      <c r="G80" s="6" t="s">
        <v>31</v>
      </c>
    </row>
    <row r="81" spans="3:7" hidden="1" x14ac:dyDescent="0.25">
      <c r="C81" s="7">
        <v>28.95</v>
      </c>
      <c r="D81" s="3">
        <v>120</v>
      </c>
      <c r="E81" s="6" t="s">
        <v>41</v>
      </c>
      <c r="F81" s="6" t="s">
        <v>16</v>
      </c>
      <c r="G81" s="6" t="s">
        <v>31</v>
      </c>
    </row>
    <row r="82" spans="3:7" hidden="1" x14ac:dyDescent="0.25">
      <c r="C82" s="7">
        <v>29.03</v>
      </c>
      <c r="D82" s="3">
        <v>111</v>
      </c>
      <c r="E82" s="6" t="s">
        <v>15</v>
      </c>
      <c r="F82" s="6" t="s">
        <v>16</v>
      </c>
      <c r="G82" s="6" t="s">
        <v>31</v>
      </c>
    </row>
    <row r="83" spans="3:7" hidden="1" x14ac:dyDescent="0.25">
      <c r="C83" s="7">
        <v>29.12</v>
      </c>
      <c r="D83" s="3">
        <v>115</v>
      </c>
      <c r="E83" s="6" t="s">
        <v>15</v>
      </c>
      <c r="F83" s="6" t="s">
        <v>16</v>
      </c>
      <c r="G83" s="6" t="s">
        <v>31</v>
      </c>
    </row>
    <row r="84" spans="3:7" hidden="1" x14ac:dyDescent="0.25">
      <c r="C84" s="7">
        <v>29.25</v>
      </c>
      <c r="D84" s="3">
        <v>126</v>
      </c>
      <c r="E84" s="6" t="s">
        <v>41</v>
      </c>
      <c r="F84" s="6" t="s">
        <v>16</v>
      </c>
      <c r="G84" s="6" t="s">
        <v>31</v>
      </c>
    </row>
    <row r="85" spans="3:7" hidden="1" x14ac:dyDescent="0.25">
      <c r="C85" s="5">
        <v>29.4</v>
      </c>
      <c r="D85" s="3">
        <v>114</v>
      </c>
      <c r="E85" s="6" t="s">
        <v>37</v>
      </c>
      <c r="F85" s="6" t="s">
        <v>16</v>
      </c>
      <c r="G85" s="6" t="s">
        <v>31</v>
      </c>
    </row>
    <row r="86" spans="3:7" hidden="1" x14ac:dyDescent="0.25">
      <c r="C86" s="5">
        <v>29.5</v>
      </c>
      <c r="D86" s="3">
        <v>122</v>
      </c>
      <c r="E86" s="6" t="s">
        <v>41</v>
      </c>
      <c r="F86" s="6" t="s">
        <v>16</v>
      </c>
      <c r="G86" s="6" t="s">
        <v>31</v>
      </c>
    </row>
    <row r="87" spans="3:7" hidden="1" x14ac:dyDescent="0.25">
      <c r="C87" s="7">
        <v>29.54</v>
      </c>
      <c r="D87" s="3">
        <v>121</v>
      </c>
      <c r="E87" s="6" t="s">
        <v>15</v>
      </c>
      <c r="F87" s="6" t="s">
        <v>16</v>
      </c>
      <c r="G87" s="6" t="s">
        <v>31</v>
      </c>
    </row>
    <row r="88" spans="3:7" hidden="1" x14ac:dyDescent="0.25">
      <c r="C88" s="7">
        <v>29.58</v>
      </c>
      <c r="D88" s="6">
        <v>101</v>
      </c>
      <c r="E88" s="6" t="s">
        <v>37</v>
      </c>
      <c r="F88" s="6" t="s">
        <v>16</v>
      </c>
      <c r="G88" s="6" t="s">
        <v>31</v>
      </c>
    </row>
    <row r="89" spans="3:7" hidden="1" x14ac:dyDescent="0.25">
      <c r="C89" s="5">
        <v>29.6</v>
      </c>
      <c r="D89" s="3">
        <v>114</v>
      </c>
      <c r="E89" s="6" t="s">
        <v>107</v>
      </c>
      <c r="F89" s="6" t="s">
        <v>16</v>
      </c>
      <c r="G89" s="6" t="s">
        <v>31</v>
      </c>
    </row>
    <row r="90" spans="3:7" hidden="1" x14ac:dyDescent="0.25">
      <c r="C90" s="7">
        <v>29.62</v>
      </c>
      <c r="D90" s="3">
        <v>121</v>
      </c>
      <c r="E90" s="6" t="s">
        <v>15</v>
      </c>
      <c r="F90" s="6" t="s">
        <v>16</v>
      </c>
      <c r="G90" s="6" t="s">
        <v>31</v>
      </c>
    </row>
    <row r="91" spans="3:7" hidden="1" x14ac:dyDescent="0.25">
      <c r="C91" s="7">
        <v>29.64</v>
      </c>
      <c r="D91" s="6">
        <v>116</v>
      </c>
      <c r="E91" s="6" t="s">
        <v>41</v>
      </c>
      <c r="F91" s="6" t="s">
        <v>16</v>
      </c>
      <c r="G91" s="6" t="s">
        <v>31</v>
      </c>
    </row>
    <row r="92" spans="3:7" hidden="1" x14ac:dyDescent="0.25">
      <c r="C92" s="7">
        <v>29.75</v>
      </c>
      <c r="D92" s="6">
        <v>118</v>
      </c>
      <c r="E92" s="6" t="s">
        <v>46</v>
      </c>
      <c r="F92" s="6" t="s">
        <v>16</v>
      </c>
      <c r="G92" s="6" t="s">
        <v>31</v>
      </c>
    </row>
    <row r="93" spans="3:7" hidden="1" x14ac:dyDescent="0.25">
      <c r="C93" s="7">
        <v>29.77</v>
      </c>
      <c r="D93" s="3" t="s">
        <v>112</v>
      </c>
      <c r="E93" s="6" t="s">
        <v>86</v>
      </c>
      <c r="F93" s="6" t="s">
        <v>16</v>
      </c>
      <c r="G93" s="6" t="s">
        <v>31</v>
      </c>
    </row>
    <row r="94" spans="3:7" hidden="1" x14ac:dyDescent="0.25">
      <c r="C94" s="7">
        <v>30</v>
      </c>
      <c r="D94" s="3">
        <v>110</v>
      </c>
      <c r="E94" s="6" t="s">
        <v>15</v>
      </c>
      <c r="F94" s="6" t="s">
        <v>16</v>
      </c>
      <c r="G94" s="6" t="s">
        <v>31</v>
      </c>
    </row>
    <row r="95" spans="3:7" hidden="1" x14ac:dyDescent="0.25">
      <c r="C95" s="7">
        <v>30.01</v>
      </c>
      <c r="D95" s="6">
        <v>120</v>
      </c>
      <c r="E95" s="6" t="s">
        <v>15</v>
      </c>
      <c r="F95" s="6" t="s">
        <v>16</v>
      </c>
      <c r="G95" s="6" t="s">
        <v>31</v>
      </c>
    </row>
    <row r="96" spans="3:7" hidden="1" x14ac:dyDescent="0.25">
      <c r="C96" s="7">
        <v>30.03</v>
      </c>
      <c r="D96" s="6">
        <v>121</v>
      </c>
      <c r="E96" s="6" t="s">
        <v>15</v>
      </c>
      <c r="F96" s="6" t="s">
        <v>16</v>
      </c>
      <c r="G96" s="6" t="s">
        <v>31</v>
      </c>
    </row>
    <row r="97" spans="3:7" hidden="1" x14ac:dyDescent="0.25">
      <c r="C97" s="7">
        <v>30.11</v>
      </c>
      <c r="D97" s="3">
        <v>116</v>
      </c>
      <c r="E97" s="6" t="s">
        <v>41</v>
      </c>
      <c r="F97" s="6" t="s">
        <v>16</v>
      </c>
      <c r="G97" s="6" t="s">
        <v>31</v>
      </c>
    </row>
    <row r="98" spans="3:7" hidden="1" x14ac:dyDescent="0.25">
      <c r="C98" s="5">
        <v>30.2</v>
      </c>
      <c r="D98" s="3">
        <v>121</v>
      </c>
      <c r="E98" s="6" t="s">
        <v>15</v>
      </c>
      <c r="F98" s="6" t="s">
        <v>16</v>
      </c>
      <c r="G98" s="6" t="s">
        <v>31</v>
      </c>
    </row>
    <row r="99" spans="3:7" hidden="1" x14ac:dyDescent="0.25">
      <c r="C99" s="19">
        <v>26.08</v>
      </c>
      <c r="D99" s="3">
        <v>102</v>
      </c>
      <c r="E99" s="6" t="s">
        <v>15</v>
      </c>
      <c r="F99" s="6" t="s">
        <v>16</v>
      </c>
      <c r="G99" s="6" t="s">
        <v>26</v>
      </c>
    </row>
    <row r="100" spans="3:7" hidden="1" x14ac:dyDescent="0.25">
      <c r="C100" s="7">
        <v>26.65</v>
      </c>
      <c r="D100" s="6">
        <v>107</v>
      </c>
      <c r="E100" s="6" t="s">
        <v>70</v>
      </c>
      <c r="F100" s="6" t="s">
        <v>16</v>
      </c>
      <c r="G100" s="6" t="s">
        <v>26</v>
      </c>
    </row>
    <row r="101" spans="3:7" hidden="1" x14ac:dyDescent="0.25">
      <c r="C101" s="7">
        <v>27.04</v>
      </c>
      <c r="D101" s="6">
        <v>121</v>
      </c>
      <c r="E101" s="6" t="s">
        <v>86</v>
      </c>
      <c r="F101" s="6" t="s">
        <v>16</v>
      </c>
      <c r="G101" s="6" t="s">
        <v>26</v>
      </c>
    </row>
    <row r="102" spans="3:7" hidden="1" x14ac:dyDescent="0.25">
      <c r="C102" s="7">
        <v>27.43</v>
      </c>
      <c r="D102" s="3">
        <v>113</v>
      </c>
      <c r="E102" s="6" t="s">
        <v>86</v>
      </c>
      <c r="F102" s="6" t="s">
        <v>16</v>
      </c>
      <c r="G102" s="6" t="s">
        <v>26</v>
      </c>
    </row>
    <row r="103" spans="3:7" hidden="1" x14ac:dyDescent="0.25">
      <c r="C103" s="5">
        <v>27.7</v>
      </c>
      <c r="D103" s="3">
        <v>119</v>
      </c>
      <c r="E103" s="6" t="s">
        <v>15</v>
      </c>
      <c r="F103" s="6" t="s">
        <v>16</v>
      </c>
      <c r="G103" s="6" t="s">
        <v>26</v>
      </c>
    </row>
    <row r="104" spans="3:7" hidden="1" x14ac:dyDescent="0.25">
      <c r="C104" s="19">
        <v>29.2</v>
      </c>
      <c r="D104" s="6" t="s">
        <v>121</v>
      </c>
      <c r="E104" s="6" t="s">
        <v>46</v>
      </c>
      <c r="F104" s="6" t="s">
        <v>16</v>
      </c>
      <c r="G104" s="6" t="s">
        <v>122</v>
      </c>
    </row>
    <row r="105" spans="3:7" hidden="1" x14ac:dyDescent="0.25">
      <c r="C105" s="19">
        <v>29.28</v>
      </c>
      <c r="D105" s="3">
        <v>114</v>
      </c>
      <c r="E105" s="6" t="s">
        <v>15</v>
      </c>
      <c r="F105" s="6" t="s">
        <v>16</v>
      </c>
      <c r="G105" s="6" t="s">
        <v>122</v>
      </c>
    </row>
    <row r="106" spans="3:7" hidden="1" x14ac:dyDescent="0.25">
      <c r="C106" s="19">
        <v>30.15</v>
      </c>
      <c r="D106" s="3">
        <v>116</v>
      </c>
      <c r="E106" s="6" t="s">
        <v>15</v>
      </c>
      <c r="F106" s="6" t="s">
        <v>16</v>
      </c>
      <c r="G106" s="6" t="s">
        <v>122</v>
      </c>
    </row>
    <row r="107" spans="3:7" hidden="1" x14ac:dyDescent="0.25">
      <c r="C107" s="5">
        <v>28.5</v>
      </c>
      <c r="D107" s="3">
        <v>125</v>
      </c>
      <c r="E107" s="6" t="s">
        <v>15</v>
      </c>
      <c r="F107" s="6" t="s">
        <v>16</v>
      </c>
      <c r="G107" s="6" t="s">
        <v>122</v>
      </c>
    </row>
    <row r="108" spans="3:7" hidden="1" x14ac:dyDescent="0.25">
      <c r="C108" s="7">
        <v>28.75</v>
      </c>
      <c r="D108" s="3">
        <v>119</v>
      </c>
      <c r="E108" s="6" t="s">
        <v>37</v>
      </c>
      <c r="F108" s="6" t="s">
        <v>16</v>
      </c>
      <c r="G108" s="6" t="s">
        <v>122</v>
      </c>
    </row>
    <row r="109" spans="3:7" hidden="1" x14ac:dyDescent="0.25">
      <c r="C109" s="7">
        <v>29</v>
      </c>
      <c r="D109" s="3">
        <v>120</v>
      </c>
      <c r="E109" s="6" t="s">
        <v>37</v>
      </c>
      <c r="F109" s="6" t="s">
        <v>16</v>
      </c>
      <c r="G109" s="6" t="s">
        <v>122</v>
      </c>
    </row>
    <row r="110" spans="3:7" hidden="1" x14ac:dyDescent="0.25">
      <c r="C110" s="5">
        <v>29.1</v>
      </c>
      <c r="D110" s="6">
        <v>101</v>
      </c>
      <c r="E110" s="6" t="s">
        <v>86</v>
      </c>
      <c r="F110" s="6" t="s">
        <v>16</v>
      </c>
      <c r="G110" s="6" t="s">
        <v>122</v>
      </c>
    </row>
    <row r="111" spans="3:7" hidden="1" x14ac:dyDescent="0.25">
      <c r="C111" s="7">
        <v>29.5</v>
      </c>
      <c r="D111" s="3">
        <v>123</v>
      </c>
      <c r="E111" s="6" t="s">
        <v>15</v>
      </c>
      <c r="F111" s="6" t="s">
        <v>16</v>
      </c>
      <c r="G111" s="6" t="s">
        <v>122</v>
      </c>
    </row>
    <row r="112" spans="3:7" hidden="1" x14ac:dyDescent="0.25">
      <c r="C112" s="7">
        <v>29.69</v>
      </c>
      <c r="D112" s="3">
        <v>120</v>
      </c>
      <c r="E112" s="6" t="s">
        <v>46</v>
      </c>
      <c r="F112" s="6" t="s">
        <v>16</v>
      </c>
      <c r="G112" s="6" t="s">
        <v>122</v>
      </c>
    </row>
    <row r="113" spans="3:7" hidden="1" x14ac:dyDescent="0.25">
      <c r="C113" s="7">
        <v>29.86</v>
      </c>
      <c r="D113" s="3">
        <v>120</v>
      </c>
      <c r="E113" s="6" t="s">
        <v>15</v>
      </c>
      <c r="F113" s="6" t="s">
        <v>16</v>
      </c>
      <c r="G113" s="6" t="s">
        <v>122</v>
      </c>
    </row>
    <row r="114" spans="3:7" hidden="1" x14ac:dyDescent="0.25">
      <c r="C114" s="19">
        <v>26</v>
      </c>
      <c r="D114" s="3">
        <v>147</v>
      </c>
      <c r="E114" s="6" t="s">
        <v>37</v>
      </c>
      <c r="F114" s="6" t="s">
        <v>16</v>
      </c>
      <c r="G114" s="6" t="s">
        <v>128</v>
      </c>
    </row>
    <row r="115" spans="3:7" hidden="1" x14ac:dyDescent="0.25">
      <c r="C115" s="19">
        <v>26.74</v>
      </c>
      <c r="D115" s="3">
        <v>119</v>
      </c>
      <c r="E115" s="6" t="s">
        <v>15</v>
      </c>
      <c r="F115" s="6" t="s">
        <v>16</v>
      </c>
      <c r="G115" s="6" t="s">
        <v>128</v>
      </c>
    </row>
    <row r="116" spans="3:7" hidden="1" x14ac:dyDescent="0.25">
      <c r="C116" s="19">
        <v>27.08</v>
      </c>
      <c r="D116" s="3">
        <v>119</v>
      </c>
      <c r="E116" s="6" t="s">
        <v>15</v>
      </c>
      <c r="F116" s="6" t="s">
        <v>16</v>
      </c>
      <c r="G116" s="6" t="s">
        <v>128</v>
      </c>
    </row>
    <row r="117" spans="3:7" hidden="1" x14ac:dyDescent="0.25">
      <c r="C117" s="19">
        <v>27.75</v>
      </c>
      <c r="D117" s="6">
        <v>119</v>
      </c>
      <c r="E117" s="6" t="s">
        <v>15</v>
      </c>
      <c r="F117" s="6" t="s">
        <v>16</v>
      </c>
      <c r="G117" s="6" t="s">
        <v>128</v>
      </c>
    </row>
    <row r="118" spans="3:7" hidden="1" x14ac:dyDescent="0.25">
      <c r="C118" s="19">
        <v>28.51</v>
      </c>
      <c r="D118" s="3">
        <v>119</v>
      </c>
      <c r="E118" s="6" t="s">
        <v>15</v>
      </c>
      <c r="F118" s="6" t="s">
        <v>16</v>
      </c>
      <c r="G118" s="6" t="s">
        <v>128</v>
      </c>
    </row>
    <row r="119" spans="3:7" hidden="1" x14ac:dyDescent="0.25">
      <c r="C119" s="19">
        <v>28.98</v>
      </c>
      <c r="D119" s="6">
        <v>109</v>
      </c>
      <c r="E119" s="6" t="s">
        <v>15</v>
      </c>
      <c r="F119" s="6" t="s">
        <v>16</v>
      </c>
      <c r="G119" s="6" t="s">
        <v>128</v>
      </c>
    </row>
    <row r="120" spans="3:7" hidden="1" x14ac:dyDescent="0.25">
      <c r="C120" s="7">
        <v>26.57</v>
      </c>
      <c r="D120" s="6">
        <v>126</v>
      </c>
      <c r="E120" s="6" t="s">
        <v>86</v>
      </c>
      <c r="F120" s="6" t="s">
        <v>16</v>
      </c>
      <c r="G120" s="6" t="s">
        <v>128</v>
      </c>
    </row>
    <row r="121" spans="3:7" hidden="1" x14ac:dyDescent="0.25">
      <c r="C121" s="7">
        <v>26.73</v>
      </c>
      <c r="D121" s="3">
        <v>119</v>
      </c>
      <c r="E121" s="6" t="s">
        <v>15</v>
      </c>
      <c r="F121" s="6" t="s">
        <v>16</v>
      </c>
      <c r="G121" s="6" t="s">
        <v>128</v>
      </c>
    </row>
    <row r="122" spans="3:7" hidden="1" x14ac:dyDescent="0.25">
      <c r="C122" s="5">
        <v>26.8</v>
      </c>
      <c r="D122" s="6">
        <v>116</v>
      </c>
      <c r="E122" s="6" t="s">
        <v>37</v>
      </c>
      <c r="F122" s="6" t="s">
        <v>16</v>
      </c>
      <c r="G122" s="6" t="s">
        <v>128</v>
      </c>
    </row>
    <row r="123" spans="3:7" hidden="1" x14ac:dyDescent="0.25">
      <c r="C123" s="7">
        <v>26.85</v>
      </c>
      <c r="D123" s="3">
        <v>115</v>
      </c>
      <c r="E123" s="6" t="s">
        <v>15</v>
      </c>
      <c r="F123" s="6" t="s">
        <v>16</v>
      </c>
      <c r="G123" s="6" t="s">
        <v>128</v>
      </c>
    </row>
    <row r="124" spans="3:7" hidden="1" x14ac:dyDescent="0.25">
      <c r="C124" s="7">
        <v>26.86</v>
      </c>
      <c r="D124" s="3">
        <v>124</v>
      </c>
      <c r="E124" s="6" t="s">
        <v>37</v>
      </c>
      <c r="F124" s="6" t="s">
        <v>16</v>
      </c>
      <c r="G124" s="6" t="s">
        <v>128</v>
      </c>
    </row>
    <row r="125" spans="3:7" hidden="1" x14ac:dyDescent="0.25">
      <c r="C125" s="7">
        <v>26.91</v>
      </c>
      <c r="D125" s="6">
        <v>119</v>
      </c>
      <c r="E125" s="6" t="s">
        <v>15</v>
      </c>
      <c r="F125" s="6" t="s">
        <v>16</v>
      </c>
      <c r="G125" s="6" t="s">
        <v>128</v>
      </c>
    </row>
    <row r="126" spans="3:7" hidden="1" x14ac:dyDescent="0.25">
      <c r="C126" s="7">
        <v>26.99</v>
      </c>
      <c r="D126" s="3">
        <v>113</v>
      </c>
      <c r="E126" s="6" t="s">
        <v>15</v>
      </c>
      <c r="F126" s="6" t="s">
        <v>16</v>
      </c>
      <c r="G126" s="6" t="s">
        <v>128</v>
      </c>
    </row>
    <row r="127" spans="3:7" hidden="1" x14ac:dyDescent="0.25">
      <c r="C127" s="7">
        <v>27.03</v>
      </c>
      <c r="D127" s="3">
        <v>98</v>
      </c>
      <c r="E127" s="6" t="s">
        <v>15</v>
      </c>
      <c r="F127" s="6" t="s">
        <v>16</v>
      </c>
      <c r="G127" s="6" t="s">
        <v>128</v>
      </c>
    </row>
    <row r="128" spans="3:7" hidden="1" x14ac:dyDescent="0.25">
      <c r="C128" s="5">
        <v>27.2</v>
      </c>
      <c r="D128" s="3">
        <v>120</v>
      </c>
      <c r="E128" s="6" t="s">
        <v>15</v>
      </c>
      <c r="F128" s="6" t="s">
        <v>16</v>
      </c>
      <c r="G128" s="6" t="s">
        <v>128</v>
      </c>
    </row>
    <row r="129" spans="3:7" hidden="1" x14ac:dyDescent="0.25">
      <c r="C129" s="7">
        <v>27.23</v>
      </c>
      <c r="D129" s="3">
        <v>119</v>
      </c>
      <c r="E129" s="6" t="s">
        <v>15</v>
      </c>
      <c r="F129" s="6" t="s">
        <v>16</v>
      </c>
      <c r="G129" s="6" t="s">
        <v>128</v>
      </c>
    </row>
    <row r="130" spans="3:7" hidden="1" x14ac:dyDescent="0.25">
      <c r="C130" s="7">
        <v>27.38</v>
      </c>
      <c r="D130" s="3">
        <v>114</v>
      </c>
      <c r="E130" s="6" t="s">
        <v>15</v>
      </c>
      <c r="F130" s="6" t="s">
        <v>16</v>
      </c>
      <c r="G130" s="6" t="s">
        <v>128</v>
      </c>
    </row>
    <row r="131" spans="3:7" hidden="1" x14ac:dyDescent="0.25">
      <c r="C131" s="5">
        <v>27.4</v>
      </c>
      <c r="D131" s="3">
        <v>115</v>
      </c>
      <c r="E131" s="6" t="s">
        <v>15</v>
      </c>
      <c r="F131" s="6" t="s">
        <v>16</v>
      </c>
      <c r="G131" s="6" t="s">
        <v>128</v>
      </c>
    </row>
    <row r="132" spans="3:7" hidden="1" x14ac:dyDescent="0.25">
      <c r="C132" s="7">
        <v>27.44</v>
      </c>
      <c r="D132" s="3">
        <v>111</v>
      </c>
      <c r="E132" s="6" t="s">
        <v>15</v>
      </c>
      <c r="F132" s="6" t="s">
        <v>16</v>
      </c>
      <c r="G132" s="6" t="s">
        <v>128</v>
      </c>
    </row>
    <row r="133" spans="3:7" hidden="1" x14ac:dyDescent="0.25">
      <c r="C133" s="7">
        <v>27.49</v>
      </c>
      <c r="D133" s="6">
        <v>97</v>
      </c>
      <c r="E133" s="6" t="s">
        <v>37</v>
      </c>
      <c r="F133" s="6" t="s">
        <v>16</v>
      </c>
      <c r="G133" s="6" t="s">
        <v>128</v>
      </c>
    </row>
    <row r="134" spans="3:7" hidden="1" x14ac:dyDescent="0.25">
      <c r="C134" s="7">
        <v>27.54</v>
      </c>
      <c r="D134" s="6">
        <v>119</v>
      </c>
      <c r="E134" s="6" t="s">
        <v>15</v>
      </c>
      <c r="F134" s="6" t="s">
        <v>16</v>
      </c>
      <c r="G134" s="6" t="s">
        <v>128</v>
      </c>
    </row>
    <row r="135" spans="3:7" hidden="1" x14ac:dyDescent="0.25">
      <c r="C135" s="7">
        <v>27.67</v>
      </c>
      <c r="D135" s="3">
        <v>117</v>
      </c>
      <c r="E135" s="6" t="s">
        <v>15</v>
      </c>
      <c r="F135" s="6" t="s">
        <v>16</v>
      </c>
      <c r="G135" s="6" t="s">
        <v>128</v>
      </c>
    </row>
    <row r="136" spans="3:7" hidden="1" x14ac:dyDescent="0.25">
      <c r="C136" s="7">
        <v>27.84</v>
      </c>
      <c r="D136" s="3">
        <v>119</v>
      </c>
      <c r="E136" s="6" t="s">
        <v>15</v>
      </c>
      <c r="F136" s="6" t="s">
        <v>16</v>
      </c>
      <c r="G136" s="6" t="s">
        <v>128</v>
      </c>
    </row>
    <row r="137" spans="3:7" hidden="1" x14ac:dyDescent="0.25">
      <c r="C137" s="7">
        <v>27.87</v>
      </c>
      <c r="D137" s="3" t="s">
        <v>144</v>
      </c>
      <c r="E137" s="6" t="s">
        <v>15</v>
      </c>
      <c r="F137" s="6" t="s">
        <v>16</v>
      </c>
      <c r="G137" s="6" t="s">
        <v>128</v>
      </c>
    </row>
    <row r="138" spans="3:7" hidden="1" x14ac:dyDescent="0.25">
      <c r="C138" s="7">
        <v>27.97</v>
      </c>
      <c r="D138" s="3">
        <v>110</v>
      </c>
      <c r="E138" s="6" t="s">
        <v>15</v>
      </c>
      <c r="F138" s="6" t="s">
        <v>16</v>
      </c>
      <c r="G138" s="6" t="s">
        <v>128</v>
      </c>
    </row>
    <row r="139" spans="3:7" hidden="1" x14ac:dyDescent="0.25">
      <c r="C139" s="7">
        <v>28.12</v>
      </c>
      <c r="D139" s="6">
        <v>126</v>
      </c>
      <c r="E139" s="6" t="s">
        <v>15</v>
      </c>
      <c r="F139" s="6" t="s">
        <v>16</v>
      </c>
      <c r="G139" s="6" t="s">
        <v>128</v>
      </c>
    </row>
    <row r="140" spans="3:7" hidden="1" x14ac:dyDescent="0.25">
      <c r="C140" s="7">
        <v>28.4</v>
      </c>
      <c r="D140" s="6">
        <v>114</v>
      </c>
      <c r="E140" s="6" t="s">
        <v>37</v>
      </c>
      <c r="F140" s="6" t="s">
        <v>16</v>
      </c>
      <c r="G140" s="6" t="s">
        <v>128</v>
      </c>
    </row>
    <row r="141" spans="3:7" hidden="1" x14ac:dyDescent="0.25">
      <c r="C141" s="7">
        <v>28.46</v>
      </c>
      <c r="D141" s="6" t="s">
        <v>149</v>
      </c>
      <c r="E141" s="6" t="s">
        <v>15</v>
      </c>
      <c r="F141" s="6" t="s">
        <v>16</v>
      </c>
      <c r="G141" s="6" t="s">
        <v>128</v>
      </c>
    </row>
    <row r="142" spans="3:7" hidden="1" x14ac:dyDescent="0.25">
      <c r="C142" s="7">
        <v>28.81</v>
      </c>
      <c r="D142" s="3" t="s">
        <v>151</v>
      </c>
      <c r="E142" s="6" t="s">
        <v>15</v>
      </c>
      <c r="F142" s="6" t="s">
        <v>16</v>
      </c>
      <c r="G142" s="6" t="s">
        <v>128</v>
      </c>
    </row>
    <row r="143" spans="3:7" hidden="1" x14ac:dyDescent="0.25">
      <c r="C143" s="7">
        <v>28.85</v>
      </c>
      <c r="D143" s="6">
        <v>125</v>
      </c>
      <c r="E143" s="6" t="s">
        <v>15</v>
      </c>
      <c r="F143" s="6" t="s">
        <v>16</v>
      </c>
      <c r="G143" s="6" t="s">
        <v>128</v>
      </c>
    </row>
    <row r="144" spans="3:7" hidden="1" x14ac:dyDescent="0.25">
      <c r="C144" s="7">
        <v>28.55</v>
      </c>
      <c r="D144" s="3">
        <v>119</v>
      </c>
      <c r="E144" s="6" t="s">
        <v>15</v>
      </c>
      <c r="F144" s="6" t="s">
        <v>16</v>
      </c>
      <c r="G144" s="6" t="s">
        <v>154</v>
      </c>
    </row>
    <row r="145" spans="3:7" hidden="1" x14ac:dyDescent="0.25">
      <c r="C145" s="7">
        <v>29.66</v>
      </c>
      <c r="D145" s="3" t="s">
        <v>156</v>
      </c>
      <c r="E145" s="6" t="s">
        <v>86</v>
      </c>
      <c r="F145" s="6" t="s">
        <v>16</v>
      </c>
      <c r="G145" s="6" t="s">
        <v>154</v>
      </c>
    </row>
    <row r="146" spans="3:7" hidden="1" x14ac:dyDescent="0.25">
      <c r="C146" s="19">
        <v>25</v>
      </c>
      <c r="D146" s="3">
        <v>113</v>
      </c>
      <c r="E146" s="6" t="s">
        <v>15</v>
      </c>
      <c r="F146" s="6" t="s">
        <v>16</v>
      </c>
      <c r="G146" s="6" t="s">
        <v>25</v>
      </c>
    </row>
    <row r="147" spans="3:7" hidden="1" x14ac:dyDescent="0.25">
      <c r="C147" s="19">
        <v>26.5</v>
      </c>
      <c r="D147" s="3">
        <v>115</v>
      </c>
      <c r="E147" s="6" t="s">
        <v>15</v>
      </c>
      <c r="F147" s="6" t="s">
        <v>16</v>
      </c>
      <c r="G147" s="6" t="s">
        <v>25</v>
      </c>
    </row>
    <row r="148" spans="3:7" hidden="1" x14ac:dyDescent="0.25">
      <c r="C148" s="7">
        <v>24.95</v>
      </c>
      <c r="D148" s="3">
        <v>115</v>
      </c>
      <c r="E148" s="6" t="s">
        <v>15</v>
      </c>
      <c r="F148" s="6" t="s">
        <v>16</v>
      </c>
      <c r="G148" s="6" t="s">
        <v>25</v>
      </c>
    </row>
    <row r="149" spans="3:7" hidden="1" x14ac:dyDescent="0.25">
      <c r="C149" s="7">
        <v>24.95</v>
      </c>
      <c r="D149" s="6" t="s">
        <v>158</v>
      </c>
      <c r="E149" s="6" t="s">
        <v>37</v>
      </c>
      <c r="F149" s="6" t="s">
        <v>16</v>
      </c>
      <c r="G149" s="6" t="s">
        <v>25</v>
      </c>
    </row>
    <row r="150" spans="3:7" hidden="1" x14ac:dyDescent="0.25">
      <c r="C150" s="7">
        <v>25.26</v>
      </c>
      <c r="D150" s="3">
        <v>97</v>
      </c>
      <c r="E150" s="6" t="s">
        <v>15</v>
      </c>
      <c r="F150" s="6" t="s">
        <v>16</v>
      </c>
      <c r="G150" s="6" t="s">
        <v>25</v>
      </c>
    </row>
    <row r="151" spans="3:7" hidden="1" x14ac:dyDescent="0.25">
      <c r="C151" s="5">
        <v>25.3</v>
      </c>
      <c r="D151" s="3">
        <v>119</v>
      </c>
      <c r="E151" s="6" t="s">
        <v>15</v>
      </c>
      <c r="F151" s="6" t="s">
        <v>16</v>
      </c>
      <c r="G151" s="6" t="s">
        <v>25</v>
      </c>
    </row>
    <row r="152" spans="3:7" hidden="1" x14ac:dyDescent="0.25">
      <c r="C152" s="7">
        <v>25.97</v>
      </c>
      <c r="D152" s="3">
        <v>110</v>
      </c>
      <c r="E152" s="6" t="s">
        <v>37</v>
      </c>
      <c r="F152" s="6" t="s">
        <v>16</v>
      </c>
      <c r="G152" s="6" t="s">
        <v>25</v>
      </c>
    </row>
    <row r="153" spans="3:7" hidden="1" x14ac:dyDescent="0.25">
      <c r="C153" s="7">
        <v>26.66</v>
      </c>
      <c r="D153" s="3">
        <v>119</v>
      </c>
      <c r="E153" s="6" t="s">
        <v>15</v>
      </c>
      <c r="F153" s="6" t="s">
        <v>16</v>
      </c>
      <c r="G153" s="6" t="s">
        <v>25</v>
      </c>
    </row>
    <row r="154" spans="3:7" hidden="1" x14ac:dyDescent="0.25">
      <c r="C154" s="7">
        <v>26.68</v>
      </c>
      <c r="D154" s="6">
        <v>122</v>
      </c>
      <c r="E154" s="6" t="s">
        <v>23</v>
      </c>
      <c r="F154" s="6" t="s">
        <v>16</v>
      </c>
      <c r="G154" s="6" t="s">
        <v>25</v>
      </c>
    </row>
    <row r="155" spans="3:7" hidden="1" x14ac:dyDescent="0.25">
      <c r="C155" s="5">
        <v>26.8</v>
      </c>
      <c r="D155" s="3">
        <v>110</v>
      </c>
      <c r="E155" s="6" t="s">
        <v>70</v>
      </c>
      <c r="F155" s="6" t="s">
        <v>16</v>
      </c>
      <c r="G155" s="6" t="s">
        <v>25</v>
      </c>
    </row>
    <row r="156" spans="3:7" hidden="1" x14ac:dyDescent="0.25">
      <c r="C156" s="5">
        <v>27.1</v>
      </c>
      <c r="D156" s="6">
        <v>115</v>
      </c>
      <c r="E156" s="6" t="s">
        <v>15</v>
      </c>
      <c r="F156" s="6" t="s">
        <v>16</v>
      </c>
      <c r="G156" s="6" t="s">
        <v>25</v>
      </c>
    </row>
    <row r="157" spans="3:7" hidden="1" x14ac:dyDescent="0.25">
      <c r="C157" s="7">
        <v>27.26</v>
      </c>
      <c r="D157" s="3">
        <v>113</v>
      </c>
      <c r="E157" s="6" t="s">
        <v>15</v>
      </c>
      <c r="F157" s="6" t="s">
        <v>16</v>
      </c>
      <c r="G157" s="6" t="s">
        <v>25</v>
      </c>
    </row>
    <row r="158" spans="3:7" x14ac:dyDescent="0.25">
      <c r="C158" s="19">
        <v>24.32</v>
      </c>
      <c r="D158" s="3">
        <v>115</v>
      </c>
      <c r="E158" s="6" t="s">
        <v>15</v>
      </c>
      <c r="F158" s="6" t="s">
        <v>16</v>
      </c>
      <c r="G158" s="6" t="s">
        <v>29</v>
      </c>
    </row>
    <row r="159" spans="3:7" x14ac:dyDescent="0.25">
      <c r="C159" s="19">
        <v>27</v>
      </c>
      <c r="D159" s="6">
        <v>118</v>
      </c>
      <c r="E159" s="6" t="s">
        <v>37</v>
      </c>
      <c r="F159" s="6" t="s">
        <v>16</v>
      </c>
      <c r="G159" s="6" t="s">
        <v>29</v>
      </c>
    </row>
    <row r="160" spans="3:7" x14ac:dyDescent="0.25">
      <c r="C160" s="7">
        <v>23.88</v>
      </c>
      <c r="D160" s="3">
        <v>112</v>
      </c>
      <c r="E160" s="6" t="s">
        <v>15</v>
      </c>
      <c r="F160" s="6" t="s">
        <v>16</v>
      </c>
      <c r="G160" s="6" t="s">
        <v>29</v>
      </c>
    </row>
    <row r="161" spans="3:7" x14ac:dyDescent="0.25">
      <c r="C161" s="7">
        <v>24.28</v>
      </c>
      <c r="D161" s="3">
        <v>116</v>
      </c>
      <c r="E161" s="6" t="s">
        <v>15</v>
      </c>
      <c r="F161" s="6" t="s">
        <v>16</v>
      </c>
      <c r="G161" s="6" t="s">
        <v>29</v>
      </c>
    </row>
    <row r="162" spans="3:7" x14ac:dyDescent="0.25">
      <c r="C162" s="5">
        <v>24.5</v>
      </c>
      <c r="D162" s="3">
        <v>110</v>
      </c>
      <c r="E162" s="6" t="s">
        <v>15</v>
      </c>
      <c r="F162" s="6" t="s">
        <v>16</v>
      </c>
      <c r="G162" s="6" t="s">
        <v>29</v>
      </c>
    </row>
    <row r="163" spans="3:7" x14ac:dyDescent="0.25">
      <c r="C163" s="7">
        <v>25.073</v>
      </c>
      <c r="D163" s="3">
        <v>110</v>
      </c>
      <c r="E163" s="6" t="s">
        <v>15</v>
      </c>
      <c r="F163" s="6" t="s">
        <v>16</v>
      </c>
      <c r="G163" s="6" t="s">
        <v>29</v>
      </c>
    </row>
    <row r="164" spans="3:7" x14ac:dyDescent="0.25">
      <c r="C164" s="5">
        <v>25.4</v>
      </c>
      <c r="D164" s="3" t="s">
        <v>171</v>
      </c>
      <c r="E164" s="6" t="s">
        <v>15</v>
      </c>
      <c r="F164" s="6" t="s">
        <v>16</v>
      </c>
      <c r="G164" s="6" t="s">
        <v>29</v>
      </c>
    </row>
    <row r="165" spans="3:7" x14ac:dyDescent="0.25">
      <c r="C165" s="7">
        <v>26.39</v>
      </c>
      <c r="D165" s="3">
        <v>107</v>
      </c>
      <c r="E165" s="6" t="s">
        <v>15</v>
      </c>
      <c r="F165" s="6" t="s">
        <v>16</v>
      </c>
      <c r="G165" s="6" t="s">
        <v>29</v>
      </c>
    </row>
    <row r="166" spans="3:7" hidden="1" x14ac:dyDescent="0.25">
      <c r="C166" s="19">
        <v>24.3</v>
      </c>
      <c r="D166" s="3">
        <v>120</v>
      </c>
      <c r="E166" s="6" t="s">
        <v>15</v>
      </c>
      <c r="F166" s="6" t="s">
        <v>21</v>
      </c>
      <c r="G166" s="6"/>
    </row>
    <row r="167" spans="3:7" hidden="1" x14ac:dyDescent="0.25">
      <c r="C167" s="19">
        <v>25.42</v>
      </c>
      <c r="D167" s="6">
        <v>108</v>
      </c>
      <c r="E167" s="6" t="s">
        <v>15</v>
      </c>
      <c r="F167" s="6" t="s">
        <v>21</v>
      </c>
    </row>
    <row r="168" spans="3:7" hidden="1" x14ac:dyDescent="0.25">
      <c r="C168" s="19">
        <v>25.68</v>
      </c>
      <c r="D168" s="3">
        <v>121</v>
      </c>
      <c r="E168" s="6" t="s">
        <v>15</v>
      </c>
      <c r="F168" s="6" t="s">
        <v>21</v>
      </c>
      <c r="G168" s="6"/>
    </row>
    <row r="169" spans="3:7" hidden="1" x14ac:dyDescent="0.25">
      <c r="C169" s="7">
        <v>24</v>
      </c>
      <c r="D169" s="3">
        <v>111</v>
      </c>
      <c r="E169" s="6" t="s">
        <v>15</v>
      </c>
      <c r="F169" s="6" t="s">
        <v>21</v>
      </c>
      <c r="G169" s="6"/>
    </row>
    <row r="170" spans="3:7" hidden="1" x14ac:dyDescent="0.25">
      <c r="C170" s="5">
        <v>24.2</v>
      </c>
      <c r="D170" s="3">
        <v>108</v>
      </c>
      <c r="E170" s="6" t="s">
        <v>15</v>
      </c>
      <c r="F170" s="6" t="s">
        <v>21</v>
      </c>
      <c r="G170" s="6"/>
    </row>
    <row r="171" spans="3:7" hidden="1" x14ac:dyDescent="0.25">
      <c r="C171" s="5">
        <v>24.3</v>
      </c>
      <c r="D171" s="3">
        <v>112</v>
      </c>
      <c r="E171" s="6" t="s">
        <v>37</v>
      </c>
      <c r="F171" s="6" t="s">
        <v>21</v>
      </c>
    </row>
    <row r="172" spans="3:7" hidden="1" x14ac:dyDescent="0.25">
      <c r="C172" s="5">
        <v>24.4</v>
      </c>
      <c r="D172" s="3">
        <v>110</v>
      </c>
      <c r="E172" s="6" t="s">
        <v>15</v>
      </c>
      <c r="F172" s="6" t="s">
        <v>21</v>
      </c>
    </row>
    <row r="173" spans="3:7" hidden="1" x14ac:dyDescent="0.25">
      <c r="C173" s="7">
        <v>24.55</v>
      </c>
      <c r="D173" s="6">
        <v>104</v>
      </c>
      <c r="E173" s="6" t="s">
        <v>41</v>
      </c>
      <c r="F173" s="6" t="s">
        <v>21</v>
      </c>
    </row>
    <row r="174" spans="3:7" hidden="1" x14ac:dyDescent="0.25">
      <c r="C174" s="7">
        <v>24.74</v>
      </c>
      <c r="D174" s="6">
        <v>101</v>
      </c>
      <c r="E174" s="6" t="s">
        <v>86</v>
      </c>
      <c r="F174" s="6" t="s">
        <v>21</v>
      </c>
    </row>
    <row r="175" spans="3:7" hidden="1" x14ac:dyDescent="0.25">
      <c r="C175" s="5">
        <v>25.3</v>
      </c>
      <c r="D175" s="6">
        <v>102</v>
      </c>
      <c r="E175" s="6" t="s">
        <v>15</v>
      </c>
      <c r="F175" s="6" t="s">
        <v>21</v>
      </c>
    </row>
    <row r="176" spans="3:7" hidden="1" x14ac:dyDescent="0.25">
      <c r="C176" s="7">
        <v>25.42</v>
      </c>
      <c r="D176" s="3">
        <v>104</v>
      </c>
      <c r="E176" s="6" t="s">
        <v>15</v>
      </c>
      <c r="F176" s="6" t="s">
        <v>21</v>
      </c>
      <c r="G176" s="6"/>
    </row>
    <row r="177" spans="3:7" hidden="1" x14ac:dyDescent="0.25">
      <c r="C177" s="7">
        <v>25.43</v>
      </c>
      <c r="D177" s="3">
        <v>119</v>
      </c>
      <c r="E177" s="6" t="s">
        <v>15</v>
      </c>
      <c r="F177" s="6" t="s">
        <v>21</v>
      </c>
    </row>
    <row r="178" spans="3:7" hidden="1" x14ac:dyDescent="0.25">
      <c r="C178" s="7">
        <v>26.44</v>
      </c>
      <c r="D178" s="6">
        <v>113</v>
      </c>
      <c r="E178" s="6" t="s">
        <v>107</v>
      </c>
      <c r="F178" s="6" t="s">
        <v>21</v>
      </c>
    </row>
    <row r="179" spans="3:7" hidden="1" x14ac:dyDescent="0.25">
      <c r="C179" s="7">
        <v>25.27</v>
      </c>
      <c r="D179" s="6">
        <v>108</v>
      </c>
      <c r="E179" s="6" t="s">
        <v>15</v>
      </c>
      <c r="F179" s="6" t="s">
        <v>16</v>
      </c>
      <c r="G179" s="6" t="s">
        <v>25</v>
      </c>
    </row>
    <row r="180" spans="3:7" hidden="1" x14ac:dyDescent="0.25">
      <c r="C180" s="19">
        <v>27.93</v>
      </c>
      <c r="D180" s="6">
        <v>110</v>
      </c>
      <c r="E180" s="6" t="s">
        <v>15</v>
      </c>
      <c r="F180" s="6" t="s">
        <v>16</v>
      </c>
      <c r="G180" s="6" t="s">
        <v>154</v>
      </c>
    </row>
    <row r="181" spans="3:7" hidden="1" x14ac:dyDescent="0.25">
      <c r="C181" s="7">
        <v>28.05</v>
      </c>
      <c r="D181" s="6">
        <v>110</v>
      </c>
      <c r="E181" s="6" t="s">
        <v>15</v>
      </c>
      <c r="F181" s="6" t="s">
        <v>16</v>
      </c>
      <c r="G181" s="6" t="s">
        <v>128</v>
      </c>
    </row>
    <row r="182" spans="3:7" hidden="1" x14ac:dyDescent="0.25">
      <c r="C182" s="9"/>
      <c r="D182" s="10"/>
    </row>
    <row r="183" spans="3:7" hidden="1" x14ac:dyDescent="0.25">
      <c r="C183" s="9"/>
      <c r="D183" s="10"/>
    </row>
    <row r="184" spans="3:7" hidden="1" x14ac:dyDescent="0.25">
      <c r="C184" s="9"/>
      <c r="D184" s="10"/>
    </row>
    <row r="185" spans="3:7" hidden="1" x14ac:dyDescent="0.25">
      <c r="C185" s="9"/>
      <c r="D185" s="10"/>
    </row>
    <row r="186" spans="3:7" hidden="1" x14ac:dyDescent="0.25">
      <c r="C186" s="9"/>
      <c r="D186" s="10"/>
    </row>
    <row r="187" spans="3:7" hidden="1" x14ac:dyDescent="0.25">
      <c r="C187" s="9"/>
      <c r="D187" s="10"/>
    </row>
    <row r="188" spans="3:7" hidden="1" x14ac:dyDescent="0.25">
      <c r="C188" s="9"/>
      <c r="D188" s="10"/>
    </row>
    <row r="189" spans="3:7" hidden="1" x14ac:dyDescent="0.25">
      <c r="C189" s="9"/>
      <c r="D189" s="10"/>
    </row>
    <row r="190" spans="3:7" hidden="1" x14ac:dyDescent="0.25">
      <c r="C190" s="9"/>
      <c r="D190" s="10"/>
    </row>
    <row r="191" spans="3:7" hidden="1" x14ac:dyDescent="0.25">
      <c r="C191" s="9"/>
      <c r="D191" s="10"/>
    </row>
    <row r="192" spans="3:7" hidden="1" x14ac:dyDescent="0.25">
      <c r="C192" s="9"/>
      <c r="D192" s="10"/>
    </row>
    <row r="193" spans="3:4" hidden="1" x14ac:dyDescent="0.25">
      <c r="C193" s="9"/>
      <c r="D193" s="10"/>
    </row>
    <row r="194" spans="3:4" hidden="1" x14ac:dyDescent="0.25">
      <c r="C194" s="9"/>
      <c r="D194" s="10"/>
    </row>
    <row r="195" spans="3:4" hidden="1" x14ac:dyDescent="0.25">
      <c r="C195" s="9"/>
      <c r="D195" s="10"/>
    </row>
    <row r="196" spans="3:4" hidden="1" x14ac:dyDescent="0.25">
      <c r="C196" s="9"/>
      <c r="D196" s="10"/>
    </row>
    <row r="197" spans="3:4" hidden="1" x14ac:dyDescent="0.25">
      <c r="C197" s="9"/>
      <c r="D197" s="10"/>
    </row>
    <row r="198" spans="3:4" hidden="1" x14ac:dyDescent="0.25">
      <c r="C198" s="9"/>
      <c r="D198" s="10"/>
    </row>
    <row r="199" spans="3:4" hidden="1" x14ac:dyDescent="0.25">
      <c r="C199" s="9"/>
      <c r="D199" s="10"/>
    </row>
    <row r="200" spans="3:4" hidden="1" x14ac:dyDescent="0.25">
      <c r="C200" s="9"/>
      <c r="D200" s="10"/>
    </row>
    <row r="201" spans="3:4" hidden="1" x14ac:dyDescent="0.25">
      <c r="C201" s="9"/>
      <c r="D201" s="10"/>
    </row>
    <row r="202" spans="3:4" hidden="1" x14ac:dyDescent="0.25">
      <c r="C202" s="9"/>
      <c r="D202" s="10"/>
    </row>
    <row r="203" spans="3:4" hidden="1" x14ac:dyDescent="0.25">
      <c r="C203" s="9"/>
      <c r="D203" s="10"/>
    </row>
    <row r="204" spans="3:4" hidden="1" x14ac:dyDescent="0.25">
      <c r="C204" s="9"/>
      <c r="D204" s="10"/>
    </row>
    <row r="205" spans="3:4" hidden="1" x14ac:dyDescent="0.25">
      <c r="C205" s="9"/>
      <c r="D205" s="10"/>
    </row>
    <row r="206" spans="3:4" hidden="1" x14ac:dyDescent="0.25">
      <c r="C206" s="9"/>
      <c r="D206" s="10"/>
    </row>
    <row r="207" spans="3:4" hidden="1" x14ac:dyDescent="0.25">
      <c r="C207" s="9"/>
      <c r="D207" s="10"/>
    </row>
    <row r="208" spans="3:4" hidden="1" x14ac:dyDescent="0.25">
      <c r="C208" s="9"/>
      <c r="D208" s="10"/>
    </row>
    <row r="209" spans="3:4" hidden="1" x14ac:dyDescent="0.25">
      <c r="C209" s="9"/>
      <c r="D209" s="10"/>
    </row>
    <row r="210" spans="3:4" hidden="1" x14ac:dyDescent="0.25">
      <c r="C210" s="9"/>
      <c r="D210" s="10"/>
    </row>
    <row r="211" spans="3:4" hidden="1" x14ac:dyDescent="0.25">
      <c r="C211" s="9"/>
      <c r="D211" s="10"/>
    </row>
    <row r="212" spans="3:4" hidden="1" x14ac:dyDescent="0.25">
      <c r="C212" s="9"/>
      <c r="D212" s="10"/>
    </row>
    <row r="213" spans="3:4" hidden="1" x14ac:dyDescent="0.25">
      <c r="C213" s="9"/>
      <c r="D213" s="10"/>
    </row>
    <row r="214" spans="3:4" hidden="1" x14ac:dyDescent="0.25">
      <c r="C214" s="9"/>
      <c r="D214" s="10"/>
    </row>
    <row r="215" spans="3:4" hidden="1" x14ac:dyDescent="0.25">
      <c r="C215" s="9"/>
      <c r="D215" s="10"/>
    </row>
    <row r="216" spans="3:4" hidden="1" x14ac:dyDescent="0.25">
      <c r="C216" s="9"/>
      <c r="D216" s="10"/>
    </row>
    <row r="217" spans="3:4" hidden="1" x14ac:dyDescent="0.25">
      <c r="C217" s="9"/>
      <c r="D217" s="10"/>
    </row>
    <row r="218" spans="3:4" hidden="1" x14ac:dyDescent="0.25">
      <c r="C218" s="9"/>
      <c r="D218" s="10"/>
    </row>
    <row r="219" spans="3:4" hidden="1" x14ac:dyDescent="0.25">
      <c r="C219" s="9"/>
      <c r="D219" s="10"/>
    </row>
    <row r="220" spans="3:4" hidden="1" x14ac:dyDescent="0.25">
      <c r="C220" s="9"/>
      <c r="D220" s="10"/>
    </row>
    <row r="221" spans="3:4" hidden="1" x14ac:dyDescent="0.25">
      <c r="C221" s="9"/>
      <c r="D221" s="10"/>
    </row>
    <row r="222" spans="3:4" hidden="1" x14ac:dyDescent="0.25">
      <c r="C222" s="9"/>
      <c r="D222" s="10"/>
    </row>
    <row r="223" spans="3:4" hidden="1" x14ac:dyDescent="0.25">
      <c r="C223" s="9"/>
      <c r="D223" s="10"/>
    </row>
    <row r="224" spans="3:4" hidden="1" x14ac:dyDescent="0.25">
      <c r="C224" s="9"/>
      <c r="D224" s="10"/>
    </row>
    <row r="225" spans="3:4" hidden="1" x14ac:dyDescent="0.25">
      <c r="C225" s="9"/>
      <c r="D225" s="10"/>
    </row>
    <row r="226" spans="3:4" hidden="1" x14ac:dyDescent="0.25">
      <c r="C226" s="9"/>
      <c r="D226" s="10"/>
    </row>
    <row r="227" spans="3:4" hidden="1" x14ac:dyDescent="0.25">
      <c r="C227" s="9"/>
      <c r="D227" s="10"/>
    </row>
    <row r="228" spans="3:4" hidden="1" x14ac:dyDescent="0.25">
      <c r="C228" s="9"/>
      <c r="D228" s="10"/>
    </row>
    <row r="229" spans="3:4" hidden="1" x14ac:dyDescent="0.25">
      <c r="C229" s="9"/>
      <c r="D229" s="10"/>
    </row>
    <row r="230" spans="3:4" hidden="1" x14ac:dyDescent="0.25">
      <c r="C230" s="9"/>
      <c r="D230" s="10"/>
    </row>
    <row r="231" spans="3:4" hidden="1" x14ac:dyDescent="0.25">
      <c r="C231" s="9"/>
      <c r="D231" s="10"/>
    </row>
    <row r="232" spans="3:4" hidden="1" x14ac:dyDescent="0.25">
      <c r="C232" s="9"/>
      <c r="D232" s="10"/>
    </row>
    <row r="233" spans="3:4" hidden="1" x14ac:dyDescent="0.25">
      <c r="C233" s="9"/>
      <c r="D233" s="10"/>
    </row>
    <row r="234" spans="3:4" hidden="1" x14ac:dyDescent="0.25">
      <c r="C234" s="9"/>
      <c r="D234" s="10"/>
    </row>
    <row r="235" spans="3:4" hidden="1" x14ac:dyDescent="0.25">
      <c r="C235" s="9"/>
      <c r="D235" s="10"/>
    </row>
    <row r="236" spans="3:4" hidden="1" x14ac:dyDescent="0.25">
      <c r="C236" s="9"/>
      <c r="D236" s="10"/>
    </row>
    <row r="237" spans="3:4" hidden="1" x14ac:dyDescent="0.25">
      <c r="C237" s="9"/>
      <c r="D237" s="10"/>
    </row>
    <row r="238" spans="3:4" hidden="1" x14ac:dyDescent="0.25">
      <c r="C238" s="9"/>
      <c r="D238" s="10"/>
    </row>
    <row r="239" spans="3:4" hidden="1" x14ac:dyDescent="0.25">
      <c r="C239" s="9"/>
      <c r="D239" s="10"/>
    </row>
    <row r="240" spans="3:4" hidden="1" x14ac:dyDescent="0.25">
      <c r="C240" s="9"/>
      <c r="D240" s="10"/>
    </row>
    <row r="241" spans="3:4" hidden="1" x14ac:dyDescent="0.25">
      <c r="C241" s="9"/>
      <c r="D241" s="10"/>
    </row>
    <row r="242" spans="3:4" hidden="1" x14ac:dyDescent="0.25">
      <c r="C242" s="9"/>
      <c r="D242" s="10"/>
    </row>
    <row r="243" spans="3:4" hidden="1" x14ac:dyDescent="0.25">
      <c r="C243" s="9"/>
      <c r="D243" s="10"/>
    </row>
    <row r="244" spans="3:4" hidden="1" x14ac:dyDescent="0.25">
      <c r="C244" s="9"/>
      <c r="D244" s="10"/>
    </row>
    <row r="245" spans="3:4" hidden="1" x14ac:dyDescent="0.25">
      <c r="C245" s="9"/>
      <c r="D245" s="10"/>
    </row>
    <row r="246" spans="3:4" hidden="1" x14ac:dyDescent="0.25">
      <c r="C246" s="9"/>
      <c r="D246" s="10"/>
    </row>
    <row r="247" spans="3:4" hidden="1" x14ac:dyDescent="0.25">
      <c r="C247" s="9"/>
      <c r="D247" s="10"/>
    </row>
    <row r="248" spans="3:4" hidden="1" x14ac:dyDescent="0.25">
      <c r="C248" s="9"/>
      <c r="D248" s="10"/>
    </row>
    <row r="249" spans="3:4" hidden="1" x14ac:dyDescent="0.25">
      <c r="C249" s="9"/>
      <c r="D249" s="10"/>
    </row>
    <row r="250" spans="3:4" hidden="1" x14ac:dyDescent="0.25">
      <c r="C250" s="9"/>
      <c r="D250" s="10"/>
    </row>
    <row r="251" spans="3:4" hidden="1" x14ac:dyDescent="0.25">
      <c r="C251" s="9"/>
      <c r="D251" s="10"/>
    </row>
    <row r="252" spans="3:4" hidden="1" x14ac:dyDescent="0.25">
      <c r="C252" s="9"/>
      <c r="D252" s="10"/>
    </row>
    <row r="253" spans="3:4" hidden="1" x14ac:dyDescent="0.25">
      <c r="C253" s="9"/>
      <c r="D253" s="10"/>
    </row>
    <row r="254" spans="3:4" hidden="1" x14ac:dyDescent="0.25">
      <c r="C254" s="9"/>
      <c r="D254" s="10"/>
    </row>
    <row r="255" spans="3:4" hidden="1" x14ac:dyDescent="0.25">
      <c r="C255" s="9"/>
      <c r="D255" s="10"/>
    </row>
    <row r="256" spans="3:4" hidden="1" x14ac:dyDescent="0.25">
      <c r="C256" s="9"/>
      <c r="D256" s="10"/>
    </row>
    <row r="257" spans="3:4" hidden="1" x14ac:dyDescent="0.25">
      <c r="C257" s="9"/>
      <c r="D257" s="10"/>
    </row>
    <row r="258" spans="3:4" hidden="1" x14ac:dyDescent="0.25">
      <c r="C258" s="9"/>
      <c r="D258" s="10"/>
    </row>
    <row r="259" spans="3:4" hidden="1" x14ac:dyDescent="0.25">
      <c r="C259" s="9"/>
      <c r="D259" s="10"/>
    </row>
    <row r="260" spans="3:4" hidden="1" x14ac:dyDescent="0.25">
      <c r="C260" s="9"/>
      <c r="D260" s="10"/>
    </row>
    <row r="261" spans="3:4" hidden="1" x14ac:dyDescent="0.25">
      <c r="C261" s="9"/>
      <c r="D261" s="10"/>
    </row>
    <row r="262" spans="3:4" hidden="1" x14ac:dyDescent="0.25">
      <c r="C262" s="9"/>
      <c r="D262" s="10"/>
    </row>
    <row r="263" spans="3:4" hidden="1" x14ac:dyDescent="0.25">
      <c r="C263" s="9"/>
      <c r="D263" s="10"/>
    </row>
    <row r="264" spans="3:4" hidden="1" x14ac:dyDescent="0.25">
      <c r="C264" s="9"/>
      <c r="D264" s="10"/>
    </row>
    <row r="265" spans="3:4" hidden="1" x14ac:dyDescent="0.25">
      <c r="C265" s="9"/>
      <c r="D265" s="10"/>
    </row>
    <row r="266" spans="3:4" hidden="1" x14ac:dyDescent="0.25">
      <c r="C266" s="9"/>
      <c r="D266" s="10"/>
    </row>
    <row r="267" spans="3:4" hidden="1" x14ac:dyDescent="0.25">
      <c r="C267" s="9"/>
      <c r="D267" s="10"/>
    </row>
    <row r="268" spans="3:4" hidden="1" x14ac:dyDescent="0.25">
      <c r="C268" s="9"/>
      <c r="D268" s="10"/>
    </row>
    <row r="269" spans="3:4" hidden="1" x14ac:dyDescent="0.25">
      <c r="C269" s="9"/>
      <c r="D269" s="10"/>
    </row>
    <row r="270" spans="3:4" hidden="1" x14ac:dyDescent="0.25">
      <c r="C270" s="9"/>
      <c r="D270" s="10"/>
    </row>
    <row r="271" spans="3:4" hidden="1" x14ac:dyDescent="0.25">
      <c r="C271" s="9"/>
      <c r="D271" s="10"/>
    </row>
    <row r="272" spans="3:4" hidden="1" x14ac:dyDescent="0.25">
      <c r="C272" s="9"/>
      <c r="D272" s="10"/>
    </row>
    <row r="273" spans="3:4" hidden="1" x14ac:dyDescent="0.25">
      <c r="C273" s="9"/>
      <c r="D273" s="10"/>
    </row>
    <row r="274" spans="3:4" hidden="1" x14ac:dyDescent="0.25">
      <c r="C274" s="9"/>
      <c r="D274" s="10"/>
    </row>
    <row r="275" spans="3:4" hidden="1" x14ac:dyDescent="0.25">
      <c r="C275" s="9"/>
      <c r="D275" s="10"/>
    </row>
    <row r="276" spans="3:4" hidden="1" x14ac:dyDescent="0.25">
      <c r="C276" s="9"/>
      <c r="D276" s="10"/>
    </row>
    <row r="277" spans="3:4" hidden="1" x14ac:dyDescent="0.25">
      <c r="C277" s="9"/>
      <c r="D277" s="10"/>
    </row>
    <row r="278" spans="3:4" hidden="1" x14ac:dyDescent="0.25">
      <c r="C278" s="9"/>
      <c r="D278" s="10"/>
    </row>
    <row r="279" spans="3:4" hidden="1" x14ac:dyDescent="0.25">
      <c r="C279" s="9"/>
      <c r="D279" s="10"/>
    </row>
    <row r="280" spans="3:4" hidden="1" x14ac:dyDescent="0.25">
      <c r="C280" s="9"/>
      <c r="D280" s="10"/>
    </row>
    <row r="281" spans="3:4" hidden="1" x14ac:dyDescent="0.25">
      <c r="C281" s="9"/>
      <c r="D281" s="10"/>
    </row>
  </sheetData>
  <autoFilter ref="G1:G281" xr:uid="{D2E1439F-D9EA-4790-A04F-7F13696D76DB}">
    <filterColumn colId="0">
      <filters>
        <filter val="T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7CAA-7148-497F-A623-D059B3D29221}">
  <dimension ref="C2:K224"/>
  <sheetViews>
    <sheetView tabSelected="1" zoomScale="59" zoomScaleNormal="100" workbookViewId="0">
      <selection activeCell="H164" sqref="H164"/>
    </sheetView>
  </sheetViews>
  <sheetFormatPr defaultRowHeight="12.5" x14ac:dyDescent="0.25"/>
  <cols>
    <col min="1" max="2" width="8.7265625" style="15"/>
    <col min="3" max="3" width="9.453125" style="15" customWidth="1"/>
    <col min="4" max="4" width="7.7265625" style="15" customWidth="1"/>
    <col min="5" max="5" width="12" style="15" customWidth="1"/>
    <col min="6" max="6" width="10.7265625" style="15" customWidth="1"/>
    <col min="7" max="7" width="23.81640625" style="15" bestFit="1" customWidth="1"/>
    <col min="8" max="8" width="8.7265625" style="15"/>
    <col min="9" max="9" width="10.54296875" style="15" customWidth="1"/>
    <col min="10" max="10" width="10.81640625" style="15" customWidth="1"/>
    <col min="11" max="11" width="12.7265625" style="15" customWidth="1"/>
    <col min="12" max="16384" width="8.7265625" style="15"/>
  </cols>
  <sheetData>
    <row r="2" spans="3:11" ht="13" x14ac:dyDescent="0.25">
      <c r="C2" s="16" t="s">
        <v>189</v>
      </c>
      <c r="D2" s="16" t="s">
        <v>190</v>
      </c>
      <c r="E2" s="16" t="s">
        <v>191</v>
      </c>
      <c r="F2" s="16" t="s">
        <v>192</v>
      </c>
      <c r="G2" s="16" t="s">
        <v>193</v>
      </c>
      <c r="I2" s="17" t="s">
        <v>194</v>
      </c>
      <c r="J2" s="17" t="s">
        <v>195</v>
      </c>
      <c r="K2" s="17" t="s">
        <v>196</v>
      </c>
    </row>
    <row r="3" spans="3:11" x14ac:dyDescent="0.25">
      <c r="C3" s="5">
        <v>27.25</v>
      </c>
      <c r="D3" s="5">
        <v>119</v>
      </c>
      <c r="E3" s="5" t="s">
        <v>15</v>
      </c>
      <c r="F3" s="5" t="s">
        <v>16</v>
      </c>
      <c r="G3" s="5" t="s">
        <v>24</v>
      </c>
      <c r="I3" s="15">
        <f>MAX(C3:C34)</f>
        <v>30.02</v>
      </c>
      <c r="J3" s="15">
        <f>26.94</f>
        <v>26.94</v>
      </c>
      <c r="K3" s="18">
        <f>AVERAGE(C3:C34)</f>
        <v>28.266206896551719</v>
      </c>
    </row>
    <row r="4" spans="3:11" x14ac:dyDescent="0.25">
      <c r="C4" s="5">
        <v>27.28</v>
      </c>
      <c r="D4" s="5">
        <v>125</v>
      </c>
      <c r="E4" s="5" t="s">
        <v>15</v>
      </c>
      <c r="F4" s="5" t="s">
        <v>16</v>
      </c>
      <c r="G4" s="5" t="s">
        <v>24</v>
      </c>
      <c r="I4" s="17" t="s">
        <v>197</v>
      </c>
      <c r="J4" s="17" t="s">
        <v>198</v>
      </c>
      <c r="K4" s="17" t="s">
        <v>199</v>
      </c>
    </row>
    <row r="5" spans="3:11" x14ac:dyDescent="0.25">
      <c r="C5" s="5">
        <v>27.4</v>
      </c>
      <c r="D5" s="5">
        <v>109</v>
      </c>
      <c r="E5" s="5" t="s">
        <v>15</v>
      </c>
      <c r="F5" s="5" t="s">
        <v>16</v>
      </c>
      <c r="G5" s="5" t="s">
        <v>24</v>
      </c>
      <c r="I5" s="15">
        <f>MAX(D3:D34)</f>
        <v>126</v>
      </c>
      <c r="J5" s="15">
        <f>MIN(D3:D34)</f>
        <v>108</v>
      </c>
      <c r="K5" s="18">
        <f>AVERAGE(D3:D34)</f>
        <v>117.61290322580645</v>
      </c>
    </row>
    <row r="6" spans="3:11" x14ac:dyDescent="0.25">
      <c r="C6" s="5">
        <v>27.6</v>
      </c>
      <c r="D6" s="5">
        <v>121</v>
      </c>
      <c r="E6" s="5" t="s">
        <v>15</v>
      </c>
      <c r="F6" s="5" t="s">
        <v>16</v>
      </c>
      <c r="G6" s="5" t="s">
        <v>24</v>
      </c>
    </row>
    <row r="7" spans="3:11" x14ac:dyDescent="0.25">
      <c r="C7" s="5">
        <v>27.69</v>
      </c>
      <c r="D7" s="5">
        <v>108</v>
      </c>
      <c r="E7" s="5" t="s">
        <v>15</v>
      </c>
      <c r="F7" s="5" t="s">
        <v>16</v>
      </c>
      <c r="G7" s="5" t="s">
        <v>24</v>
      </c>
    </row>
    <row r="8" spans="3:11" x14ac:dyDescent="0.25">
      <c r="C8" s="5">
        <v>27.7</v>
      </c>
      <c r="D8" s="5">
        <v>125</v>
      </c>
      <c r="E8" s="5" t="s">
        <v>15</v>
      </c>
      <c r="F8" s="5" t="s">
        <v>16</v>
      </c>
      <c r="G8" s="5" t="s">
        <v>24</v>
      </c>
    </row>
    <row r="9" spans="3:11" x14ac:dyDescent="0.25">
      <c r="C9" s="5">
        <v>27.8</v>
      </c>
      <c r="D9" s="5">
        <v>120</v>
      </c>
      <c r="E9" s="5" t="s">
        <v>15</v>
      </c>
      <c r="F9" s="5" t="s">
        <v>16</v>
      </c>
      <c r="G9" s="5" t="s">
        <v>24</v>
      </c>
    </row>
    <row r="10" spans="3:11" x14ac:dyDescent="0.25">
      <c r="C10" s="5">
        <v>27.9</v>
      </c>
      <c r="D10" s="5">
        <v>116</v>
      </c>
      <c r="E10" s="5" t="s">
        <v>15</v>
      </c>
      <c r="F10" s="5" t="s">
        <v>16</v>
      </c>
      <c r="G10" s="5" t="s">
        <v>24</v>
      </c>
    </row>
    <row r="11" spans="3:11" x14ac:dyDescent="0.25">
      <c r="C11" s="5">
        <v>28.2</v>
      </c>
      <c r="D11" s="5">
        <v>119</v>
      </c>
      <c r="E11" s="5" t="s">
        <v>15</v>
      </c>
      <c r="F11" s="5" t="s">
        <v>16</v>
      </c>
      <c r="G11" s="5" t="s">
        <v>24</v>
      </c>
    </row>
    <row r="12" spans="3:11" x14ac:dyDescent="0.25">
      <c r="C12" s="5">
        <v>28.4</v>
      </c>
      <c r="D12" s="5">
        <v>126</v>
      </c>
      <c r="E12" s="5" t="s">
        <v>15</v>
      </c>
      <c r="F12" s="5" t="s">
        <v>16</v>
      </c>
      <c r="G12" s="5" t="s">
        <v>24</v>
      </c>
    </row>
    <row r="13" spans="3:11" x14ac:dyDescent="0.25">
      <c r="C13" s="5">
        <v>28.63</v>
      </c>
      <c r="D13" s="5">
        <v>119</v>
      </c>
      <c r="E13" s="5" t="s">
        <v>15</v>
      </c>
      <c r="F13" s="5" t="s">
        <v>16</v>
      </c>
      <c r="G13" s="5" t="s">
        <v>24</v>
      </c>
    </row>
    <row r="14" spans="3:11" x14ac:dyDescent="0.25">
      <c r="C14" s="5">
        <v>28.87</v>
      </c>
      <c r="D14" s="5">
        <v>119</v>
      </c>
      <c r="E14" s="5" t="s">
        <v>15</v>
      </c>
      <c r="F14" s="5" t="s">
        <v>16</v>
      </c>
      <c r="G14" s="5" t="s">
        <v>24</v>
      </c>
    </row>
    <row r="15" spans="3:11" x14ac:dyDescent="0.25">
      <c r="C15" s="5">
        <v>29</v>
      </c>
      <c r="D15" s="5">
        <v>112</v>
      </c>
      <c r="E15" s="5" t="s">
        <v>15</v>
      </c>
      <c r="F15" s="5" t="s">
        <v>16</v>
      </c>
      <c r="G15" s="5" t="s">
        <v>24</v>
      </c>
    </row>
    <row r="16" spans="3:11" x14ac:dyDescent="0.25">
      <c r="C16" s="7" t="s">
        <v>32</v>
      </c>
      <c r="D16" s="5">
        <v>115</v>
      </c>
      <c r="E16" s="5" t="s">
        <v>15</v>
      </c>
      <c r="F16" s="5" t="s">
        <v>16</v>
      </c>
      <c r="G16" s="5" t="s">
        <v>24</v>
      </c>
    </row>
    <row r="17" spans="3:7" x14ac:dyDescent="0.25">
      <c r="C17" s="7" t="s">
        <v>33</v>
      </c>
      <c r="D17" s="5">
        <v>108</v>
      </c>
      <c r="E17" s="5" t="s">
        <v>15</v>
      </c>
      <c r="F17" s="5" t="s">
        <v>16</v>
      </c>
      <c r="G17" s="5" t="s">
        <v>24</v>
      </c>
    </row>
    <row r="18" spans="3:7" x14ac:dyDescent="0.25">
      <c r="C18" s="7">
        <v>27.22</v>
      </c>
      <c r="D18" s="5">
        <v>119</v>
      </c>
      <c r="E18" s="5" t="s">
        <v>15</v>
      </c>
      <c r="F18" s="5" t="s">
        <v>16</v>
      </c>
      <c r="G18" s="5" t="s">
        <v>24</v>
      </c>
    </row>
    <row r="19" spans="3:7" x14ac:dyDescent="0.25">
      <c r="C19" s="7">
        <v>27.31</v>
      </c>
      <c r="D19" s="5">
        <v>108</v>
      </c>
      <c r="E19" s="5" t="s">
        <v>15</v>
      </c>
      <c r="F19" s="5" t="s">
        <v>16</v>
      </c>
      <c r="G19" s="5" t="s">
        <v>24</v>
      </c>
    </row>
    <row r="20" spans="3:7" x14ac:dyDescent="0.25">
      <c r="C20" s="7">
        <v>27.47</v>
      </c>
      <c r="D20" s="5">
        <v>122</v>
      </c>
      <c r="E20" s="5" t="s">
        <v>37</v>
      </c>
      <c r="F20" s="5" t="s">
        <v>16</v>
      </c>
      <c r="G20" s="5" t="s">
        <v>24</v>
      </c>
    </row>
    <row r="21" spans="3:7" x14ac:dyDescent="0.25">
      <c r="C21" s="7">
        <v>27.84</v>
      </c>
      <c r="D21" s="5">
        <v>125</v>
      </c>
      <c r="E21" s="5" t="s">
        <v>41</v>
      </c>
      <c r="F21" s="5" t="s">
        <v>16</v>
      </c>
      <c r="G21" s="5" t="s">
        <v>24</v>
      </c>
    </row>
    <row r="22" spans="3:7" x14ac:dyDescent="0.25">
      <c r="C22" s="7">
        <v>28.18</v>
      </c>
      <c r="D22" s="5">
        <v>116</v>
      </c>
      <c r="E22" s="5" t="s">
        <v>15</v>
      </c>
      <c r="F22" s="5" t="s">
        <v>16</v>
      </c>
      <c r="G22" s="5" t="s">
        <v>24</v>
      </c>
    </row>
    <row r="23" spans="3:7" x14ac:dyDescent="0.25">
      <c r="C23" s="7">
        <v>28.29</v>
      </c>
      <c r="D23" s="5">
        <v>110</v>
      </c>
      <c r="E23" s="5" t="s">
        <v>15</v>
      </c>
      <c r="F23" s="5" t="s">
        <v>16</v>
      </c>
      <c r="G23" s="5" t="s">
        <v>24</v>
      </c>
    </row>
    <row r="24" spans="3:7" x14ac:dyDescent="0.25">
      <c r="C24" s="7">
        <v>28.71</v>
      </c>
      <c r="D24" s="5">
        <v>120</v>
      </c>
      <c r="E24" s="5" t="s">
        <v>46</v>
      </c>
      <c r="F24" s="5" t="s">
        <v>16</v>
      </c>
      <c r="G24" s="5" t="s">
        <v>24</v>
      </c>
    </row>
    <row r="25" spans="3:7" x14ac:dyDescent="0.25">
      <c r="C25" s="7">
        <v>28.83</v>
      </c>
      <c r="D25" s="5">
        <v>119</v>
      </c>
      <c r="E25" s="5" t="s">
        <v>15</v>
      </c>
      <c r="F25" s="5" t="s">
        <v>16</v>
      </c>
      <c r="G25" s="5" t="s">
        <v>24</v>
      </c>
    </row>
    <row r="26" spans="3:7" x14ac:dyDescent="0.25">
      <c r="C26" s="7">
        <v>28.89</v>
      </c>
      <c r="D26" s="5">
        <v>112</v>
      </c>
      <c r="E26" s="5" t="s">
        <v>15</v>
      </c>
      <c r="F26" s="5" t="s">
        <v>16</v>
      </c>
      <c r="G26" s="5" t="s">
        <v>24</v>
      </c>
    </row>
    <row r="27" spans="3:7" x14ac:dyDescent="0.25">
      <c r="C27" s="7">
        <v>28.9</v>
      </c>
      <c r="D27" s="5">
        <v>119</v>
      </c>
      <c r="E27" s="5" t="s">
        <v>15</v>
      </c>
      <c r="F27" s="5" t="s">
        <v>16</v>
      </c>
      <c r="G27" s="5" t="s">
        <v>24</v>
      </c>
    </row>
    <row r="28" spans="3:7" x14ac:dyDescent="0.25">
      <c r="C28" s="7">
        <v>29.05</v>
      </c>
      <c r="D28" s="5">
        <v>122</v>
      </c>
      <c r="E28" s="5" t="s">
        <v>15</v>
      </c>
      <c r="F28" s="5" t="s">
        <v>16</v>
      </c>
      <c r="G28" s="5" t="s">
        <v>24</v>
      </c>
    </row>
    <row r="29" spans="3:7" x14ac:dyDescent="0.25">
      <c r="C29" s="5">
        <v>29.1</v>
      </c>
      <c r="D29" s="5">
        <v>119</v>
      </c>
      <c r="E29" s="5" t="s">
        <v>15</v>
      </c>
      <c r="F29" s="5" t="s">
        <v>16</v>
      </c>
      <c r="G29" s="5" t="s">
        <v>24</v>
      </c>
    </row>
    <row r="30" spans="3:7" x14ac:dyDescent="0.25">
      <c r="C30" s="7">
        <v>29.42</v>
      </c>
      <c r="D30" s="5">
        <v>125</v>
      </c>
      <c r="E30" s="5" t="s">
        <v>37</v>
      </c>
      <c r="F30" s="5" t="s">
        <v>16</v>
      </c>
      <c r="G30" s="5" t="s">
        <v>24</v>
      </c>
    </row>
    <row r="31" spans="3:7" x14ac:dyDescent="0.25">
      <c r="C31" s="7">
        <v>29.52</v>
      </c>
      <c r="D31" s="5">
        <v>115</v>
      </c>
      <c r="E31" s="5" t="s">
        <v>15</v>
      </c>
      <c r="F31" s="5" t="s">
        <v>16</v>
      </c>
      <c r="G31" s="5" t="s">
        <v>24</v>
      </c>
    </row>
    <row r="32" spans="3:7" x14ac:dyDescent="0.25">
      <c r="C32" s="7">
        <v>30.02</v>
      </c>
      <c r="D32" s="5">
        <v>122</v>
      </c>
      <c r="E32" s="5" t="s">
        <v>41</v>
      </c>
      <c r="F32" s="5" t="s">
        <v>16</v>
      </c>
      <c r="G32" s="5" t="s">
        <v>24</v>
      </c>
    </row>
    <row r="33" spans="3:11" x14ac:dyDescent="0.25">
      <c r="C33" s="7">
        <v>27.25</v>
      </c>
      <c r="D33" s="5">
        <v>112</v>
      </c>
      <c r="E33" s="5" t="s">
        <v>15</v>
      </c>
      <c r="F33" s="5" t="s">
        <v>16</v>
      </c>
      <c r="G33" s="5" t="s">
        <v>24</v>
      </c>
    </row>
    <row r="37" spans="3:11" ht="13" x14ac:dyDescent="0.25">
      <c r="C37" s="16" t="s">
        <v>189</v>
      </c>
      <c r="D37" s="16" t="s">
        <v>190</v>
      </c>
      <c r="E37" s="16" t="s">
        <v>191</v>
      </c>
      <c r="F37" s="16" t="s">
        <v>192</v>
      </c>
      <c r="G37" s="16" t="s">
        <v>193</v>
      </c>
      <c r="I37" s="17" t="s">
        <v>194</v>
      </c>
      <c r="J37" s="17" t="s">
        <v>195</v>
      </c>
      <c r="K37" s="17" t="s">
        <v>196</v>
      </c>
    </row>
    <row r="38" spans="3:11" x14ac:dyDescent="0.25">
      <c r="C38" s="5">
        <v>25.582000000000001</v>
      </c>
      <c r="D38" s="5">
        <v>93</v>
      </c>
      <c r="E38" s="5" t="s">
        <v>15</v>
      </c>
      <c r="F38" s="5" t="s">
        <v>16</v>
      </c>
      <c r="G38" s="5" t="s">
        <v>17</v>
      </c>
      <c r="I38" s="15">
        <f>MAX(C38:C39)</f>
        <v>26.6</v>
      </c>
      <c r="J38" s="15">
        <f>MIN(C38:C39)</f>
        <v>25.582000000000001</v>
      </c>
      <c r="K38" s="18">
        <f>AVERAGE(C38:C39)</f>
        <v>26.091000000000001</v>
      </c>
    </row>
    <row r="39" spans="3:11" x14ac:dyDescent="0.25">
      <c r="C39" s="5">
        <v>26.6</v>
      </c>
      <c r="D39" s="5">
        <v>116</v>
      </c>
      <c r="E39" s="5" t="s">
        <v>23</v>
      </c>
      <c r="F39" s="5" t="s">
        <v>16</v>
      </c>
      <c r="G39" s="5" t="s">
        <v>17</v>
      </c>
      <c r="I39" s="17" t="s">
        <v>197</v>
      </c>
      <c r="J39" s="17" t="s">
        <v>198</v>
      </c>
      <c r="K39" s="17" t="s">
        <v>199</v>
      </c>
    </row>
    <row r="40" spans="3:11" x14ac:dyDescent="0.25">
      <c r="I40" s="15">
        <f>MAX(D38:D39)</f>
        <v>116</v>
      </c>
      <c r="J40" s="15">
        <f>MIN(D38:D39)</f>
        <v>93</v>
      </c>
      <c r="K40" s="18">
        <f>AVERAGE(D38:D39)</f>
        <v>104.5</v>
      </c>
    </row>
    <row r="41" spans="3:11" x14ac:dyDescent="0.25">
      <c r="K41" s="18"/>
    </row>
    <row r="43" spans="3:11" ht="13" x14ac:dyDescent="0.25">
      <c r="C43" s="16" t="s">
        <v>189</v>
      </c>
      <c r="D43" s="16" t="s">
        <v>190</v>
      </c>
      <c r="E43" s="16" t="s">
        <v>191</v>
      </c>
      <c r="F43" s="16" t="s">
        <v>192</v>
      </c>
      <c r="G43" s="16" t="s">
        <v>193</v>
      </c>
      <c r="I43" s="17" t="s">
        <v>194</v>
      </c>
      <c r="J43" s="17" t="s">
        <v>195</v>
      </c>
      <c r="K43" s="17" t="s">
        <v>196</v>
      </c>
    </row>
    <row r="44" spans="3:11" x14ac:dyDescent="0.25">
      <c r="C44" s="5">
        <v>26</v>
      </c>
      <c r="D44" s="5">
        <v>111</v>
      </c>
      <c r="E44" s="5" t="s">
        <v>56</v>
      </c>
      <c r="F44" s="5" t="s">
        <v>16</v>
      </c>
      <c r="G44" s="5" t="s">
        <v>57</v>
      </c>
      <c r="I44" s="15">
        <f>MAX(C44:C46)</f>
        <v>30.05</v>
      </c>
      <c r="J44" s="15">
        <f>MIN(C44:C46)</f>
        <v>26</v>
      </c>
      <c r="K44" s="18">
        <f>AVERAGE(C44:C46)</f>
        <v>28.566666666666663</v>
      </c>
    </row>
    <row r="45" spans="3:11" x14ac:dyDescent="0.25">
      <c r="C45" s="5">
        <v>30.05</v>
      </c>
      <c r="D45" s="5">
        <v>119</v>
      </c>
      <c r="E45" s="5" t="s">
        <v>58</v>
      </c>
      <c r="F45" s="5" t="s">
        <v>16</v>
      </c>
      <c r="G45" s="5" t="s">
        <v>57</v>
      </c>
      <c r="I45" s="17" t="s">
        <v>197</v>
      </c>
      <c r="J45" s="17" t="s">
        <v>198</v>
      </c>
      <c r="K45" s="17" t="s">
        <v>199</v>
      </c>
    </row>
    <row r="46" spans="3:11" x14ac:dyDescent="0.25">
      <c r="C46" s="7">
        <v>29.65</v>
      </c>
      <c r="D46" s="5">
        <v>116</v>
      </c>
      <c r="E46" s="5" t="s">
        <v>58</v>
      </c>
      <c r="F46" s="5" t="s">
        <v>16</v>
      </c>
      <c r="G46" s="5" t="s">
        <v>57</v>
      </c>
      <c r="I46" s="15">
        <f>MAX(D44:D46)</f>
        <v>119</v>
      </c>
      <c r="J46" s="15">
        <f>MIN(D44:D46)</f>
        <v>111</v>
      </c>
      <c r="K46" s="18">
        <f>AVERAGE(D44:D46)</f>
        <v>115.33333333333333</v>
      </c>
    </row>
    <row r="50" spans="3:11" ht="13" x14ac:dyDescent="0.25">
      <c r="C50" s="16" t="s">
        <v>189</v>
      </c>
      <c r="D50" s="16" t="s">
        <v>190</v>
      </c>
      <c r="E50" s="16" t="s">
        <v>191</v>
      </c>
      <c r="F50" s="16" t="s">
        <v>192</v>
      </c>
      <c r="G50" s="16" t="s">
        <v>193</v>
      </c>
      <c r="I50" s="17" t="s">
        <v>194</v>
      </c>
      <c r="J50" s="17" t="s">
        <v>195</v>
      </c>
      <c r="K50" s="17" t="s">
        <v>196</v>
      </c>
    </row>
    <row r="51" spans="3:11" x14ac:dyDescent="0.25">
      <c r="C51" s="19">
        <v>27.71</v>
      </c>
      <c r="D51" s="5">
        <v>119</v>
      </c>
      <c r="E51" s="5" t="s">
        <v>15</v>
      </c>
      <c r="F51" s="5" t="s">
        <v>16</v>
      </c>
      <c r="G51" s="5" t="s">
        <v>61</v>
      </c>
      <c r="I51" s="15">
        <f>MAX(C51:C53)</f>
        <v>28.04</v>
      </c>
      <c r="J51" s="15">
        <f>MIN(C51:C53)</f>
        <v>27.52</v>
      </c>
      <c r="K51" s="18">
        <f>AVERAGE(C51:C53)</f>
        <v>27.756666666666671</v>
      </c>
    </row>
    <row r="52" spans="3:11" x14ac:dyDescent="0.25">
      <c r="C52" s="7">
        <v>27.52</v>
      </c>
      <c r="D52" s="5">
        <v>120</v>
      </c>
      <c r="E52" s="5" t="s">
        <v>37</v>
      </c>
      <c r="F52" s="5" t="s">
        <v>16</v>
      </c>
      <c r="G52" s="5" t="s">
        <v>61</v>
      </c>
      <c r="I52" s="17" t="s">
        <v>197</v>
      </c>
      <c r="J52" s="17" t="s">
        <v>198</v>
      </c>
      <c r="K52" s="17" t="s">
        <v>199</v>
      </c>
    </row>
    <row r="53" spans="3:11" x14ac:dyDescent="0.25">
      <c r="C53" s="7">
        <v>28.04</v>
      </c>
      <c r="D53" s="5">
        <v>104</v>
      </c>
      <c r="E53" s="5" t="s">
        <v>15</v>
      </c>
      <c r="F53" s="5" t="s">
        <v>16</v>
      </c>
      <c r="G53" s="5" t="s">
        <v>61</v>
      </c>
      <c r="I53" s="15">
        <f>MAX(D51:D53)</f>
        <v>120</v>
      </c>
      <c r="J53" s="15">
        <f>MIN(D51:D53)</f>
        <v>104</v>
      </c>
      <c r="K53" s="18">
        <f>AVERAGE(D51:D53)</f>
        <v>114.33333333333333</v>
      </c>
    </row>
    <row r="57" spans="3:11" ht="13" x14ac:dyDescent="0.25">
      <c r="C57" s="16" t="s">
        <v>189</v>
      </c>
      <c r="D57" s="16" t="s">
        <v>190</v>
      </c>
      <c r="E57" s="16" t="s">
        <v>191</v>
      </c>
      <c r="F57" s="16" t="s">
        <v>192</v>
      </c>
      <c r="G57" s="16" t="s">
        <v>193</v>
      </c>
      <c r="I57" s="17" t="s">
        <v>194</v>
      </c>
      <c r="J57" s="17" t="s">
        <v>195</v>
      </c>
      <c r="K57" s="17" t="s">
        <v>196</v>
      </c>
    </row>
    <row r="58" spans="3:11" x14ac:dyDescent="0.25">
      <c r="C58" s="19">
        <v>25.22</v>
      </c>
      <c r="D58" s="5">
        <v>111</v>
      </c>
      <c r="E58" s="5" t="s">
        <v>15</v>
      </c>
      <c r="F58" s="5" t="s">
        <v>16</v>
      </c>
      <c r="G58" s="5" t="s">
        <v>30</v>
      </c>
      <c r="I58" s="18">
        <f>MAX(C58:C61)</f>
        <v>26.7</v>
      </c>
      <c r="J58" s="18">
        <f>MIN(C58:C61)</f>
        <v>24.06</v>
      </c>
      <c r="K58" s="18">
        <f>AVERAGE(C58:C61)</f>
        <v>25.34</v>
      </c>
    </row>
    <row r="59" spans="3:11" x14ac:dyDescent="0.25">
      <c r="C59" s="7">
        <v>24.06</v>
      </c>
      <c r="D59" s="5">
        <v>109</v>
      </c>
      <c r="E59" s="5" t="s">
        <v>58</v>
      </c>
      <c r="F59" s="5" t="s">
        <v>16</v>
      </c>
      <c r="G59" s="5" t="s">
        <v>30</v>
      </c>
      <c r="I59" s="17" t="s">
        <v>197</v>
      </c>
      <c r="J59" s="17" t="s">
        <v>198</v>
      </c>
      <c r="K59" s="17" t="s">
        <v>199</v>
      </c>
    </row>
    <row r="60" spans="3:11" x14ac:dyDescent="0.25">
      <c r="C60" s="7">
        <v>25.38</v>
      </c>
      <c r="D60" s="5">
        <v>116</v>
      </c>
      <c r="E60" s="5" t="s">
        <v>15</v>
      </c>
      <c r="F60" s="5" t="s">
        <v>16</v>
      </c>
      <c r="G60" s="5" t="s">
        <v>30</v>
      </c>
      <c r="I60" s="15">
        <f>MAX(D58:D61)</f>
        <v>117</v>
      </c>
      <c r="J60" s="15">
        <f>MIN(D58:D61)</f>
        <v>109</v>
      </c>
      <c r="K60" s="18">
        <f>AVERAGE(D58:D61)</f>
        <v>113.25</v>
      </c>
    </row>
    <row r="61" spans="3:11" x14ac:dyDescent="0.25">
      <c r="C61" s="19">
        <v>26.7</v>
      </c>
      <c r="D61" s="5">
        <v>117</v>
      </c>
      <c r="E61" s="5" t="s">
        <v>15</v>
      </c>
      <c r="F61" s="5" t="s">
        <v>16</v>
      </c>
      <c r="G61" s="5" t="s">
        <v>30</v>
      </c>
    </row>
    <row r="65" spans="3:11" ht="13" x14ac:dyDescent="0.25">
      <c r="C65" s="16" t="s">
        <v>189</v>
      </c>
      <c r="D65" s="16" t="s">
        <v>190</v>
      </c>
      <c r="E65" s="16" t="s">
        <v>191</v>
      </c>
      <c r="F65" s="16" t="s">
        <v>192</v>
      </c>
      <c r="G65" s="16" t="s">
        <v>193</v>
      </c>
      <c r="I65" s="21" t="s">
        <v>194</v>
      </c>
      <c r="J65" s="17" t="s">
        <v>195</v>
      </c>
      <c r="K65" s="17" t="s">
        <v>196</v>
      </c>
    </row>
    <row r="66" spans="3:11" x14ac:dyDescent="0.25">
      <c r="C66" s="7">
        <v>27.13</v>
      </c>
      <c r="D66" s="5">
        <v>116</v>
      </c>
      <c r="E66" s="5" t="s">
        <v>70</v>
      </c>
      <c r="F66" s="5" t="s">
        <v>16</v>
      </c>
      <c r="G66" s="5" t="s">
        <v>20</v>
      </c>
      <c r="I66" s="18">
        <f>MAX(C66:C71)</f>
        <v>28.9</v>
      </c>
      <c r="J66" s="18">
        <f>MIN(C66:C71)</f>
        <v>27.13</v>
      </c>
      <c r="K66" s="18">
        <f>AVERAGE(C66:C71)</f>
        <v>27.891666666666666</v>
      </c>
    </row>
    <row r="67" spans="3:11" x14ac:dyDescent="0.25">
      <c r="C67" s="7">
        <v>27.54</v>
      </c>
      <c r="D67" s="5">
        <v>120</v>
      </c>
      <c r="E67" s="5" t="s">
        <v>58</v>
      </c>
      <c r="F67" s="5" t="s">
        <v>16</v>
      </c>
      <c r="G67" s="5" t="s">
        <v>20</v>
      </c>
      <c r="I67" s="17" t="s">
        <v>197</v>
      </c>
      <c r="J67" s="17" t="s">
        <v>198</v>
      </c>
      <c r="K67" s="17" t="s">
        <v>199</v>
      </c>
    </row>
    <row r="68" spans="3:11" x14ac:dyDescent="0.25">
      <c r="C68" s="7">
        <v>27.55</v>
      </c>
      <c r="D68" s="5">
        <v>113</v>
      </c>
      <c r="E68" s="5" t="s">
        <v>15</v>
      </c>
      <c r="F68" s="5" t="s">
        <v>16</v>
      </c>
      <c r="G68" s="5" t="s">
        <v>20</v>
      </c>
      <c r="I68" s="15">
        <f>MAX(D66:D71)</f>
        <v>120</v>
      </c>
      <c r="J68" s="15">
        <f>MIN(D66:D71)</f>
        <v>109</v>
      </c>
      <c r="K68" s="18">
        <f>AVERAGE(D66:D71)</f>
        <v>115.33333333333333</v>
      </c>
    </row>
    <row r="69" spans="3:11" x14ac:dyDescent="0.25">
      <c r="C69" s="7">
        <v>27.63</v>
      </c>
      <c r="D69" s="5">
        <v>109</v>
      </c>
      <c r="E69" s="5" t="s">
        <v>15</v>
      </c>
      <c r="F69" s="5" t="s">
        <v>16</v>
      </c>
      <c r="G69" s="5" t="s">
        <v>20</v>
      </c>
    </row>
    <row r="70" spans="3:11" x14ac:dyDescent="0.25">
      <c r="C70" s="5">
        <v>28.6</v>
      </c>
      <c r="D70" s="5">
        <v>116</v>
      </c>
      <c r="E70" s="5" t="s">
        <v>46</v>
      </c>
      <c r="F70" s="5" t="s">
        <v>16</v>
      </c>
      <c r="G70" s="5" t="s">
        <v>20</v>
      </c>
    </row>
    <row r="71" spans="3:11" x14ac:dyDescent="0.25">
      <c r="C71" s="5">
        <v>28.9</v>
      </c>
      <c r="D71" s="5">
        <v>118</v>
      </c>
      <c r="E71" s="5" t="s">
        <v>37</v>
      </c>
      <c r="F71" s="5" t="s">
        <v>16</v>
      </c>
      <c r="G71" s="5" t="s">
        <v>20</v>
      </c>
    </row>
    <row r="75" spans="3:11" ht="13" x14ac:dyDescent="0.25">
      <c r="C75" s="16" t="s">
        <v>189</v>
      </c>
      <c r="D75" s="16" t="s">
        <v>190</v>
      </c>
      <c r="E75" s="16" t="s">
        <v>191</v>
      </c>
      <c r="F75" s="16" t="s">
        <v>192</v>
      </c>
      <c r="G75" s="16" t="s">
        <v>193</v>
      </c>
      <c r="I75" s="21" t="s">
        <v>194</v>
      </c>
      <c r="J75" s="17" t="s">
        <v>195</v>
      </c>
      <c r="K75" s="17" t="s">
        <v>196</v>
      </c>
    </row>
    <row r="76" spans="3:11" x14ac:dyDescent="0.25">
      <c r="C76" s="19">
        <v>26.6</v>
      </c>
      <c r="D76" s="5">
        <v>118</v>
      </c>
      <c r="E76" s="5" t="s">
        <v>15</v>
      </c>
      <c r="F76" s="5" t="s">
        <v>16</v>
      </c>
      <c r="G76" s="5" t="s">
        <v>76</v>
      </c>
      <c r="I76" s="18">
        <f>MAX(C76:C87)</f>
        <v>28.48</v>
      </c>
      <c r="J76" s="18">
        <f>MIN(C76:C87)</f>
        <v>25.96</v>
      </c>
      <c r="K76" s="18">
        <f>AVERAGE(C76:C87)</f>
        <v>26.84833333333334</v>
      </c>
    </row>
    <row r="77" spans="3:11" x14ac:dyDescent="0.25">
      <c r="C77" s="19">
        <v>28.03</v>
      </c>
      <c r="D77" s="5">
        <v>125</v>
      </c>
      <c r="E77" s="5" t="s">
        <v>15</v>
      </c>
      <c r="F77" s="5" t="s">
        <v>16</v>
      </c>
      <c r="G77" s="5" t="s">
        <v>76</v>
      </c>
      <c r="I77" s="17" t="s">
        <v>197</v>
      </c>
      <c r="J77" s="17" t="s">
        <v>198</v>
      </c>
      <c r="K77" s="17" t="s">
        <v>199</v>
      </c>
    </row>
    <row r="78" spans="3:11" x14ac:dyDescent="0.25">
      <c r="C78" s="7">
        <v>25.96</v>
      </c>
      <c r="D78" s="5">
        <v>100</v>
      </c>
      <c r="E78" s="5" t="s">
        <v>15</v>
      </c>
      <c r="F78" s="5" t="s">
        <v>16</v>
      </c>
      <c r="G78" s="5" t="s">
        <v>76</v>
      </c>
      <c r="I78" s="15">
        <f>MAX(D76:D87)</f>
        <v>129</v>
      </c>
      <c r="J78" s="15">
        <f>MIN(D76:D87)</f>
        <v>97</v>
      </c>
      <c r="K78" s="18">
        <f>AVERAGE(D76:D87)</f>
        <v>112.33333333333333</v>
      </c>
    </row>
    <row r="79" spans="3:11" x14ac:dyDescent="0.25">
      <c r="C79" s="7">
        <v>26.13</v>
      </c>
      <c r="D79" s="5">
        <v>109</v>
      </c>
      <c r="E79" s="5" t="s">
        <v>15</v>
      </c>
      <c r="F79" s="5" t="s">
        <v>16</v>
      </c>
      <c r="G79" s="5" t="s">
        <v>76</v>
      </c>
    </row>
    <row r="80" spans="3:11" x14ac:dyDescent="0.25">
      <c r="C80" s="7">
        <v>26.14</v>
      </c>
      <c r="D80" s="5">
        <v>103</v>
      </c>
      <c r="E80" s="5" t="s">
        <v>15</v>
      </c>
      <c r="F80" s="5" t="s">
        <v>16</v>
      </c>
      <c r="G80" s="5" t="s">
        <v>76</v>
      </c>
    </row>
    <row r="81" spans="3:11" x14ac:dyDescent="0.25">
      <c r="C81" s="7">
        <v>26.25</v>
      </c>
      <c r="D81" s="5">
        <v>125</v>
      </c>
      <c r="E81" s="5" t="s">
        <v>15</v>
      </c>
      <c r="F81" s="5" t="s">
        <v>16</v>
      </c>
      <c r="G81" s="5" t="s">
        <v>76</v>
      </c>
    </row>
    <row r="82" spans="3:11" x14ac:dyDescent="0.25">
      <c r="C82" s="7">
        <v>26.61</v>
      </c>
      <c r="D82" s="5">
        <v>103</v>
      </c>
      <c r="E82" s="5" t="s">
        <v>15</v>
      </c>
      <c r="F82" s="5" t="s">
        <v>16</v>
      </c>
      <c r="G82" s="5" t="s">
        <v>76</v>
      </c>
    </row>
    <row r="83" spans="3:11" x14ac:dyDescent="0.25">
      <c r="C83" s="7">
        <v>26.79</v>
      </c>
      <c r="D83" s="5">
        <v>97</v>
      </c>
      <c r="E83" s="5" t="s">
        <v>37</v>
      </c>
      <c r="F83" s="5" t="s">
        <v>16</v>
      </c>
      <c r="G83" s="5" t="s">
        <v>76</v>
      </c>
    </row>
    <row r="84" spans="3:11" x14ac:dyDescent="0.25">
      <c r="C84" s="5">
        <v>26.8</v>
      </c>
      <c r="D84" s="5">
        <v>105</v>
      </c>
      <c r="E84" s="5" t="s">
        <v>37</v>
      </c>
      <c r="F84" s="5" t="s">
        <v>16</v>
      </c>
      <c r="G84" s="5" t="s">
        <v>76</v>
      </c>
    </row>
    <row r="85" spans="3:11" x14ac:dyDescent="0.25">
      <c r="C85" s="7">
        <v>27.59</v>
      </c>
      <c r="D85" s="5">
        <v>119</v>
      </c>
      <c r="E85" s="5" t="s">
        <v>15</v>
      </c>
      <c r="F85" s="5" t="s">
        <v>16</v>
      </c>
      <c r="G85" s="5" t="s">
        <v>76</v>
      </c>
    </row>
    <row r="86" spans="3:11" x14ac:dyDescent="0.25">
      <c r="C86" s="7">
        <v>28.48</v>
      </c>
      <c r="D86" s="5">
        <v>115</v>
      </c>
      <c r="E86" s="5" t="s">
        <v>15</v>
      </c>
      <c r="F86" s="5" t="s">
        <v>16</v>
      </c>
      <c r="G86" s="5" t="s">
        <v>76</v>
      </c>
    </row>
    <row r="87" spans="3:11" x14ac:dyDescent="0.25">
      <c r="C87" s="5">
        <v>26.8</v>
      </c>
      <c r="D87" s="5">
        <v>129</v>
      </c>
      <c r="E87" s="5" t="s">
        <v>15</v>
      </c>
      <c r="F87" s="5" t="s">
        <v>16</v>
      </c>
      <c r="G87" s="5" t="s">
        <v>76</v>
      </c>
    </row>
    <row r="91" spans="3:11" ht="13" x14ac:dyDescent="0.25">
      <c r="C91" s="16" t="s">
        <v>189</v>
      </c>
      <c r="D91" s="16" t="s">
        <v>190</v>
      </c>
      <c r="E91" s="16" t="s">
        <v>191</v>
      </c>
      <c r="F91" s="16" t="s">
        <v>192</v>
      </c>
      <c r="G91" s="16" t="s">
        <v>193</v>
      </c>
      <c r="I91" s="21" t="s">
        <v>194</v>
      </c>
      <c r="J91" s="17" t="s">
        <v>195</v>
      </c>
      <c r="K91" s="17" t="s">
        <v>196</v>
      </c>
    </row>
    <row r="92" spans="3:11" x14ac:dyDescent="0.25">
      <c r="C92" s="19">
        <v>26.9</v>
      </c>
      <c r="D92" s="5">
        <v>119</v>
      </c>
      <c r="E92" s="5" t="s">
        <v>41</v>
      </c>
      <c r="F92" s="5" t="s">
        <v>16</v>
      </c>
      <c r="G92" s="5" t="s">
        <v>42</v>
      </c>
      <c r="I92" s="18">
        <f>MAX(C92:C98)</f>
        <v>30.11</v>
      </c>
      <c r="J92" s="18">
        <f>MIN(C92:C98)</f>
        <v>26.9</v>
      </c>
      <c r="K92" s="18">
        <f>AVERAGE(C92:C98)</f>
        <v>28.997857142857136</v>
      </c>
    </row>
    <row r="93" spans="3:11" x14ac:dyDescent="0.25">
      <c r="C93" s="19">
        <v>29.984999999999999</v>
      </c>
      <c r="D93" s="5">
        <v>126</v>
      </c>
      <c r="E93" s="5" t="s">
        <v>86</v>
      </c>
      <c r="F93" s="5" t="s">
        <v>16</v>
      </c>
      <c r="G93" s="5" t="s">
        <v>42</v>
      </c>
      <c r="I93" s="17" t="s">
        <v>197</v>
      </c>
      <c r="J93" s="17" t="s">
        <v>198</v>
      </c>
      <c r="K93" s="17" t="s">
        <v>199</v>
      </c>
    </row>
    <row r="94" spans="3:11" x14ac:dyDescent="0.25">
      <c r="C94" s="7">
        <v>28</v>
      </c>
      <c r="D94" s="5">
        <v>113</v>
      </c>
      <c r="E94" s="5" t="s">
        <v>86</v>
      </c>
      <c r="F94" s="5" t="s">
        <v>16</v>
      </c>
      <c r="G94" s="5" t="s">
        <v>42</v>
      </c>
      <c r="I94" s="15">
        <f>MAX(D92:D98)</f>
        <v>133</v>
      </c>
      <c r="J94" s="15">
        <f>MIN(D92:D98)</f>
        <v>113</v>
      </c>
      <c r="K94" s="18">
        <f>AVERAGE(D92:D98)</f>
        <v>123.71428571428571</v>
      </c>
    </row>
    <row r="95" spans="3:11" x14ac:dyDescent="0.25">
      <c r="C95" s="7">
        <v>28.19</v>
      </c>
      <c r="D95" s="5">
        <v>126</v>
      </c>
      <c r="E95" s="5" t="s">
        <v>86</v>
      </c>
      <c r="F95" s="5" t="s">
        <v>16</v>
      </c>
      <c r="G95" s="5" t="s">
        <v>42</v>
      </c>
    </row>
    <row r="96" spans="3:11" x14ac:dyDescent="0.25">
      <c r="C96" s="7">
        <v>29.73</v>
      </c>
      <c r="D96" s="5">
        <v>133</v>
      </c>
      <c r="E96" s="5" t="s">
        <v>86</v>
      </c>
      <c r="F96" s="5" t="s">
        <v>16</v>
      </c>
      <c r="G96" s="5" t="s">
        <v>42</v>
      </c>
    </row>
    <row r="97" spans="3:11" x14ac:dyDescent="0.25">
      <c r="C97" s="7">
        <v>30.07</v>
      </c>
      <c r="D97" s="5">
        <v>123</v>
      </c>
      <c r="E97" s="5" t="s">
        <v>70</v>
      </c>
      <c r="F97" s="5" t="s">
        <v>16</v>
      </c>
      <c r="G97" s="5" t="s">
        <v>42</v>
      </c>
    </row>
    <row r="98" spans="3:11" x14ac:dyDescent="0.25">
      <c r="C98" s="7">
        <v>30.11</v>
      </c>
      <c r="D98" s="5">
        <v>126</v>
      </c>
      <c r="E98" s="5" t="s">
        <v>86</v>
      </c>
      <c r="F98" s="5" t="s">
        <v>16</v>
      </c>
      <c r="G98" s="5" t="s">
        <v>42</v>
      </c>
    </row>
    <row r="102" spans="3:11" ht="13" x14ac:dyDescent="0.25">
      <c r="C102" s="16" t="s">
        <v>189</v>
      </c>
      <c r="D102" s="16" t="s">
        <v>190</v>
      </c>
      <c r="E102" s="16" t="s">
        <v>191</v>
      </c>
      <c r="F102" s="16" t="s">
        <v>192</v>
      </c>
      <c r="G102" s="16" t="s">
        <v>193</v>
      </c>
      <c r="I102" s="21" t="s">
        <v>194</v>
      </c>
      <c r="J102" s="17" t="s">
        <v>195</v>
      </c>
      <c r="K102" s="17" t="s">
        <v>196</v>
      </c>
    </row>
    <row r="103" spans="3:11" x14ac:dyDescent="0.25">
      <c r="C103" s="19">
        <v>28.51</v>
      </c>
      <c r="D103" s="5">
        <v>125</v>
      </c>
      <c r="E103" s="5" t="s">
        <v>15</v>
      </c>
      <c r="F103" s="5" t="s">
        <v>16</v>
      </c>
      <c r="G103" s="5" t="s">
        <v>31</v>
      </c>
      <c r="I103" s="18">
        <f>MAX(C103:C131)</f>
        <v>30.2</v>
      </c>
      <c r="J103" s="18">
        <f>MIN(C103:C131)</f>
        <v>28.51</v>
      </c>
      <c r="K103" s="18">
        <f>AVERAGE(C103:C131)</f>
        <v>29.346206896551724</v>
      </c>
    </row>
    <row r="104" spans="3:11" x14ac:dyDescent="0.25">
      <c r="C104" s="19">
        <v>28.83</v>
      </c>
      <c r="D104" s="5">
        <v>115</v>
      </c>
      <c r="E104" s="5" t="s">
        <v>15</v>
      </c>
      <c r="F104" s="5" t="s">
        <v>16</v>
      </c>
      <c r="G104" s="5" t="s">
        <v>31</v>
      </c>
      <c r="I104" s="17" t="s">
        <v>197</v>
      </c>
      <c r="J104" s="17" t="s">
        <v>198</v>
      </c>
      <c r="K104" s="17" t="s">
        <v>199</v>
      </c>
    </row>
    <row r="105" spans="3:11" x14ac:dyDescent="0.25">
      <c r="C105" s="19">
        <v>29</v>
      </c>
      <c r="D105" s="5">
        <v>124</v>
      </c>
      <c r="E105" s="5" t="s">
        <v>15</v>
      </c>
      <c r="F105" s="5" t="s">
        <v>16</v>
      </c>
      <c r="G105" s="5" t="s">
        <v>31</v>
      </c>
      <c r="I105" s="15">
        <f>MAX(D103:D131)</f>
        <v>126</v>
      </c>
      <c r="J105" s="15">
        <f>MIN(D103:D131)</f>
        <v>100</v>
      </c>
      <c r="K105" s="18">
        <f>AVERAGE(D103:D131)</f>
        <v>116.65517241379311</v>
      </c>
    </row>
    <row r="106" spans="3:11" x14ac:dyDescent="0.25">
      <c r="C106" s="19">
        <v>30.06</v>
      </c>
      <c r="D106" s="5">
        <v>116</v>
      </c>
      <c r="E106" s="5" t="s">
        <v>15</v>
      </c>
      <c r="F106" s="5" t="s">
        <v>16</v>
      </c>
      <c r="G106" s="5" t="s">
        <v>31</v>
      </c>
    </row>
    <row r="107" spans="3:11" x14ac:dyDescent="0.25">
      <c r="C107" s="7">
        <v>28.68</v>
      </c>
      <c r="D107" s="5">
        <v>118</v>
      </c>
      <c r="E107" s="5" t="s">
        <v>15</v>
      </c>
      <c r="F107" s="5" t="s">
        <v>16</v>
      </c>
      <c r="G107" s="5" t="s">
        <v>31</v>
      </c>
    </row>
    <row r="108" spans="3:11" x14ac:dyDescent="0.25">
      <c r="C108" s="7">
        <v>28.69</v>
      </c>
      <c r="D108" s="5">
        <v>122</v>
      </c>
      <c r="E108" s="5" t="s">
        <v>23</v>
      </c>
      <c r="F108" s="5" t="s">
        <v>16</v>
      </c>
      <c r="G108" s="5" t="s">
        <v>31</v>
      </c>
    </row>
    <row r="109" spans="3:11" x14ac:dyDescent="0.25">
      <c r="C109" s="7">
        <v>28.75</v>
      </c>
      <c r="D109" s="5">
        <v>118</v>
      </c>
      <c r="E109" s="5" t="s">
        <v>15</v>
      </c>
      <c r="F109" s="5" t="s">
        <v>16</v>
      </c>
      <c r="G109" s="5" t="s">
        <v>31</v>
      </c>
    </row>
    <row r="110" spans="3:11" x14ac:dyDescent="0.25">
      <c r="C110" s="7">
        <v>28.82</v>
      </c>
      <c r="D110" s="5">
        <v>109</v>
      </c>
      <c r="E110" s="5" t="s">
        <v>15</v>
      </c>
      <c r="F110" s="5" t="s">
        <v>16</v>
      </c>
      <c r="G110" s="5" t="s">
        <v>31</v>
      </c>
    </row>
    <row r="111" spans="3:11" x14ac:dyDescent="0.25">
      <c r="C111" s="7">
        <v>28.83</v>
      </c>
      <c r="D111" s="5">
        <v>100</v>
      </c>
      <c r="E111" s="5" t="s">
        <v>15</v>
      </c>
      <c r="F111" s="5" t="s">
        <v>16</v>
      </c>
      <c r="G111" s="5" t="s">
        <v>31</v>
      </c>
    </row>
    <row r="112" spans="3:11" x14ac:dyDescent="0.25">
      <c r="C112" s="7">
        <v>28.87</v>
      </c>
      <c r="D112" s="5">
        <v>116</v>
      </c>
      <c r="E112" s="5" t="s">
        <v>15</v>
      </c>
      <c r="F112" s="5" t="s">
        <v>16</v>
      </c>
      <c r="G112" s="5" t="s">
        <v>31</v>
      </c>
    </row>
    <row r="113" spans="3:7" x14ac:dyDescent="0.25">
      <c r="C113" s="5">
        <v>28.9</v>
      </c>
      <c r="D113" s="5">
        <v>107</v>
      </c>
      <c r="E113" s="5" t="s">
        <v>56</v>
      </c>
      <c r="F113" s="5" t="s">
        <v>16</v>
      </c>
      <c r="G113" s="5" t="s">
        <v>31</v>
      </c>
    </row>
    <row r="114" spans="3:7" x14ac:dyDescent="0.25">
      <c r="C114" s="7">
        <v>28.95</v>
      </c>
      <c r="D114" s="5">
        <v>120</v>
      </c>
      <c r="E114" s="5" t="s">
        <v>41</v>
      </c>
      <c r="F114" s="5" t="s">
        <v>16</v>
      </c>
      <c r="G114" s="5" t="s">
        <v>31</v>
      </c>
    </row>
    <row r="115" spans="3:7" x14ac:dyDescent="0.25">
      <c r="C115" s="7">
        <v>29.03</v>
      </c>
      <c r="D115" s="5">
        <v>111</v>
      </c>
      <c r="E115" s="5" t="s">
        <v>15</v>
      </c>
      <c r="F115" s="5" t="s">
        <v>16</v>
      </c>
      <c r="G115" s="5" t="s">
        <v>31</v>
      </c>
    </row>
    <row r="116" spans="3:7" x14ac:dyDescent="0.25">
      <c r="C116" s="7">
        <v>29.12</v>
      </c>
      <c r="D116" s="5">
        <v>115</v>
      </c>
      <c r="E116" s="5" t="s">
        <v>15</v>
      </c>
      <c r="F116" s="5" t="s">
        <v>16</v>
      </c>
      <c r="G116" s="5" t="s">
        <v>31</v>
      </c>
    </row>
    <row r="117" spans="3:7" x14ac:dyDescent="0.25">
      <c r="C117" s="7">
        <v>29.25</v>
      </c>
      <c r="D117" s="5">
        <v>126</v>
      </c>
      <c r="E117" s="5" t="s">
        <v>41</v>
      </c>
      <c r="F117" s="5" t="s">
        <v>16</v>
      </c>
      <c r="G117" s="5" t="s">
        <v>31</v>
      </c>
    </row>
    <row r="118" spans="3:7" x14ac:dyDescent="0.25">
      <c r="C118" s="5">
        <v>29.4</v>
      </c>
      <c r="D118" s="5">
        <v>114</v>
      </c>
      <c r="E118" s="5" t="s">
        <v>37</v>
      </c>
      <c r="F118" s="5" t="s">
        <v>16</v>
      </c>
      <c r="G118" s="5" t="s">
        <v>31</v>
      </c>
    </row>
    <row r="119" spans="3:7" x14ac:dyDescent="0.25">
      <c r="C119" s="5">
        <v>29.5</v>
      </c>
      <c r="D119" s="5">
        <v>122</v>
      </c>
      <c r="E119" s="5" t="s">
        <v>41</v>
      </c>
      <c r="F119" s="5" t="s">
        <v>16</v>
      </c>
      <c r="G119" s="5" t="s">
        <v>31</v>
      </c>
    </row>
    <row r="120" spans="3:7" x14ac:dyDescent="0.25">
      <c r="C120" s="7">
        <v>29.54</v>
      </c>
      <c r="D120" s="5">
        <v>121</v>
      </c>
      <c r="E120" s="5" t="s">
        <v>15</v>
      </c>
      <c r="F120" s="5" t="s">
        <v>16</v>
      </c>
      <c r="G120" s="5" t="s">
        <v>31</v>
      </c>
    </row>
    <row r="121" spans="3:7" x14ac:dyDescent="0.25">
      <c r="C121" s="7">
        <v>29.58</v>
      </c>
      <c r="D121" s="5">
        <v>101</v>
      </c>
      <c r="E121" s="5" t="s">
        <v>37</v>
      </c>
      <c r="F121" s="5" t="s">
        <v>16</v>
      </c>
      <c r="G121" s="5" t="s">
        <v>31</v>
      </c>
    </row>
    <row r="122" spans="3:7" x14ac:dyDescent="0.25">
      <c r="C122" s="5">
        <v>29.6</v>
      </c>
      <c r="D122" s="5">
        <v>114</v>
      </c>
      <c r="E122" s="5" t="s">
        <v>107</v>
      </c>
      <c r="F122" s="5" t="s">
        <v>16</v>
      </c>
      <c r="G122" s="5" t="s">
        <v>31</v>
      </c>
    </row>
    <row r="123" spans="3:7" x14ac:dyDescent="0.25">
      <c r="C123" s="7">
        <v>29.62</v>
      </c>
      <c r="D123" s="5">
        <v>121</v>
      </c>
      <c r="E123" s="5" t="s">
        <v>15</v>
      </c>
      <c r="F123" s="5" t="s">
        <v>16</v>
      </c>
      <c r="G123" s="5" t="s">
        <v>31</v>
      </c>
    </row>
    <row r="124" spans="3:7" x14ac:dyDescent="0.25">
      <c r="C124" s="7">
        <v>29.64</v>
      </c>
      <c r="D124" s="5">
        <v>116</v>
      </c>
      <c r="E124" s="5" t="s">
        <v>41</v>
      </c>
      <c r="F124" s="5" t="s">
        <v>16</v>
      </c>
      <c r="G124" s="5" t="s">
        <v>31</v>
      </c>
    </row>
    <row r="125" spans="3:7" x14ac:dyDescent="0.25">
      <c r="C125" s="7">
        <v>29.75</v>
      </c>
      <c r="D125" s="5">
        <v>118</v>
      </c>
      <c r="E125" s="5" t="s">
        <v>46</v>
      </c>
      <c r="F125" s="5" t="s">
        <v>16</v>
      </c>
      <c r="G125" s="5" t="s">
        <v>31</v>
      </c>
    </row>
    <row r="126" spans="3:7" x14ac:dyDescent="0.25">
      <c r="C126" s="7">
        <v>29.77</v>
      </c>
      <c r="D126" s="5">
        <v>126</v>
      </c>
      <c r="E126" s="5" t="s">
        <v>86</v>
      </c>
      <c r="F126" s="5" t="s">
        <v>16</v>
      </c>
      <c r="G126" s="5" t="s">
        <v>31</v>
      </c>
    </row>
    <row r="127" spans="3:7" x14ac:dyDescent="0.25">
      <c r="C127" s="7">
        <v>30</v>
      </c>
      <c r="D127" s="5">
        <v>110</v>
      </c>
      <c r="E127" s="5" t="s">
        <v>15</v>
      </c>
      <c r="F127" s="5" t="s">
        <v>16</v>
      </c>
      <c r="G127" s="5" t="s">
        <v>31</v>
      </c>
    </row>
    <row r="128" spans="3:7" x14ac:dyDescent="0.25">
      <c r="C128" s="7">
        <v>30.01</v>
      </c>
      <c r="D128" s="5">
        <v>120</v>
      </c>
      <c r="E128" s="5" t="s">
        <v>15</v>
      </c>
      <c r="F128" s="5" t="s">
        <v>16</v>
      </c>
      <c r="G128" s="5" t="s">
        <v>31</v>
      </c>
    </row>
    <row r="129" spans="3:11" x14ac:dyDescent="0.25">
      <c r="C129" s="7">
        <v>30.03</v>
      </c>
      <c r="D129" s="5">
        <v>121</v>
      </c>
      <c r="E129" s="5" t="s">
        <v>15</v>
      </c>
      <c r="F129" s="5" t="s">
        <v>16</v>
      </c>
      <c r="G129" s="5" t="s">
        <v>31</v>
      </c>
    </row>
    <row r="130" spans="3:11" x14ac:dyDescent="0.25">
      <c r="C130" s="7">
        <v>30.11</v>
      </c>
      <c r="D130" s="5">
        <v>116</v>
      </c>
      <c r="E130" s="5" t="s">
        <v>41</v>
      </c>
      <c r="F130" s="5" t="s">
        <v>16</v>
      </c>
      <c r="G130" s="5" t="s">
        <v>31</v>
      </c>
    </row>
    <row r="131" spans="3:11" x14ac:dyDescent="0.25">
      <c r="C131" s="5">
        <v>30.2</v>
      </c>
      <c r="D131" s="5">
        <v>121</v>
      </c>
      <c r="E131" s="5" t="s">
        <v>15</v>
      </c>
      <c r="F131" s="5" t="s">
        <v>16</v>
      </c>
      <c r="G131" s="5" t="s">
        <v>31</v>
      </c>
    </row>
    <row r="135" spans="3:11" ht="13" x14ac:dyDescent="0.25">
      <c r="C135" s="16" t="s">
        <v>189</v>
      </c>
      <c r="D135" s="16" t="s">
        <v>190</v>
      </c>
      <c r="E135" s="16" t="s">
        <v>191</v>
      </c>
      <c r="F135" s="16" t="s">
        <v>192</v>
      </c>
      <c r="G135" s="16" t="s">
        <v>193</v>
      </c>
      <c r="I135" s="21" t="s">
        <v>194</v>
      </c>
      <c r="J135" s="17" t="s">
        <v>195</v>
      </c>
      <c r="K135" s="17" t="s">
        <v>196</v>
      </c>
    </row>
    <row r="136" spans="3:11" x14ac:dyDescent="0.25">
      <c r="C136" s="19">
        <v>26.08</v>
      </c>
      <c r="D136" s="5">
        <v>102</v>
      </c>
      <c r="E136" s="5" t="s">
        <v>15</v>
      </c>
      <c r="F136" s="5" t="s">
        <v>16</v>
      </c>
      <c r="G136" s="5" t="s">
        <v>26</v>
      </c>
      <c r="I136" s="18">
        <f>MAX(C136:C140)</f>
        <v>27.7</v>
      </c>
      <c r="J136" s="18">
        <f>MIN(C136:C140)</f>
        <v>26.08</v>
      </c>
      <c r="K136" s="18">
        <f>AVERAGE(C136:C140)</f>
        <v>26.979999999999997</v>
      </c>
    </row>
    <row r="137" spans="3:11" x14ac:dyDescent="0.25">
      <c r="C137" s="7">
        <v>26.65</v>
      </c>
      <c r="D137" s="5">
        <v>107</v>
      </c>
      <c r="E137" s="5" t="s">
        <v>70</v>
      </c>
      <c r="F137" s="5" t="s">
        <v>16</v>
      </c>
      <c r="G137" s="5" t="s">
        <v>26</v>
      </c>
      <c r="I137" s="17" t="s">
        <v>197</v>
      </c>
      <c r="J137" s="17" t="s">
        <v>198</v>
      </c>
      <c r="K137" s="17" t="s">
        <v>199</v>
      </c>
    </row>
    <row r="138" spans="3:11" x14ac:dyDescent="0.25">
      <c r="C138" s="7">
        <v>27.04</v>
      </c>
      <c r="D138" s="5">
        <v>121</v>
      </c>
      <c r="E138" s="5" t="s">
        <v>86</v>
      </c>
      <c r="F138" s="5" t="s">
        <v>16</v>
      </c>
      <c r="G138" s="5" t="s">
        <v>26</v>
      </c>
      <c r="I138" s="15">
        <f>MAX(D136:D140)</f>
        <v>121</v>
      </c>
      <c r="J138" s="15">
        <f>MIN(D136:D140)</f>
        <v>102</v>
      </c>
      <c r="K138" s="18">
        <f>AVERAGE(D136:D140)</f>
        <v>112.4</v>
      </c>
    </row>
    <row r="139" spans="3:11" x14ac:dyDescent="0.25">
      <c r="C139" s="7">
        <v>27.43</v>
      </c>
      <c r="D139" s="5">
        <v>113</v>
      </c>
      <c r="E139" s="5" t="s">
        <v>86</v>
      </c>
      <c r="F139" s="5" t="s">
        <v>16</v>
      </c>
      <c r="G139" s="5" t="s">
        <v>26</v>
      </c>
    </row>
    <row r="140" spans="3:11" x14ac:dyDescent="0.25">
      <c r="C140" s="5">
        <v>27.7</v>
      </c>
      <c r="D140" s="5">
        <v>119</v>
      </c>
      <c r="E140" s="5" t="s">
        <v>15</v>
      </c>
      <c r="F140" s="5" t="s">
        <v>16</v>
      </c>
      <c r="G140" s="5" t="s">
        <v>26</v>
      </c>
    </row>
    <row r="144" spans="3:11" ht="13" x14ac:dyDescent="0.25">
      <c r="C144" s="16" t="s">
        <v>189</v>
      </c>
      <c r="D144" s="16" t="s">
        <v>190</v>
      </c>
      <c r="E144" s="16" t="s">
        <v>191</v>
      </c>
      <c r="F144" s="16" t="s">
        <v>192</v>
      </c>
      <c r="G144" s="16" t="s">
        <v>193</v>
      </c>
      <c r="I144" s="21" t="s">
        <v>194</v>
      </c>
      <c r="J144" s="17" t="s">
        <v>195</v>
      </c>
      <c r="K144" s="17" t="s">
        <v>196</v>
      </c>
    </row>
    <row r="145" spans="3:11" x14ac:dyDescent="0.25">
      <c r="C145" s="19">
        <v>29.2</v>
      </c>
      <c r="D145" s="5">
        <v>125</v>
      </c>
      <c r="E145" s="5" t="s">
        <v>46</v>
      </c>
      <c r="F145" s="5" t="s">
        <v>16</v>
      </c>
      <c r="G145" s="5" t="s">
        <v>122</v>
      </c>
      <c r="I145" s="18">
        <f>MAX(C145:C154)</f>
        <v>30.15</v>
      </c>
      <c r="J145" s="18">
        <f>MIN(C145:C154)</f>
        <v>28.5</v>
      </c>
      <c r="K145" s="18">
        <f>AVERAGE(C145:C154)</f>
        <v>29.303000000000004</v>
      </c>
    </row>
    <row r="146" spans="3:11" x14ac:dyDescent="0.25">
      <c r="C146" s="19">
        <v>29.28</v>
      </c>
      <c r="D146" s="5">
        <v>114</v>
      </c>
      <c r="E146" s="5" t="s">
        <v>15</v>
      </c>
      <c r="F146" s="5" t="s">
        <v>16</v>
      </c>
      <c r="G146" s="5" t="s">
        <v>122</v>
      </c>
      <c r="I146" s="17" t="s">
        <v>197</v>
      </c>
      <c r="J146" s="17" t="s">
        <v>198</v>
      </c>
      <c r="K146" s="17" t="s">
        <v>199</v>
      </c>
    </row>
    <row r="147" spans="3:11" x14ac:dyDescent="0.25">
      <c r="C147" s="19">
        <v>30.15</v>
      </c>
      <c r="D147" s="5">
        <v>116</v>
      </c>
      <c r="E147" s="5" t="s">
        <v>15</v>
      </c>
      <c r="F147" s="5" t="s">
        <v>16</v>
      </c>
      <c r="G147" s="5" t="s">
        <v>122</v>
      </c>
      <c r="I147" s="15">
        <f>MAX(D145:D154)</f>
        <v>125</v>
      </c>
      <c r="J147" s="15">
        <f>MIN(D145:D154)</f>
        <v>101</v>
      </c>
      <c r="K147" s="18">
        <f>AVERAGE(D145:D154)</f>
        <v>118.3</v>
      </c>
    </row>
    <row r="148" spans="3:11" x14ac:dyDescent="0.25">
      <c r="C148" s="5">
        <v>28.5</v>
      </c>
      <c r="D148" s="5">
        <v>125</v>
      </c>
      <c r="E148" s="5" t="s">
        <v>15</v>
      </c>
      <c r="F148" s="5" t="s">
        <v>16</v>
      </c>
      <c r="G148" s="5" t="s">
        <v>122</v>
      </c>
    </row>
    <row r="149" spans="3:11" x14ac:dyDescent="0.25">
      <c r="C149" s="7">
        <v>28.75</v>
      </c>
      <c r="D149" s="5">
        <v>119</v>
      </c>
      <c r="E149" s="5" t="s">
        <v>37</v>
      </c>
      <c r="F149" s="5" t="s">
        <v>16</v>
      </c>
      <c r="G149" s="5" t="s">
        <v>122</v>
      </c>
    </row>
    <row r="150" spans="3:11" x14ac:dyDescent="0.25">
      <c r="C150" s="7">
        <v>29</v>
      </c>
      <c r="D150" s="5">
        <v>120</v>
      </c>
      <c r="E150" s="5" t="s">
        <v>37</v>
      </c>
      <c r="F150" s="5" t="s">
        <v>16</v>
      </c>
      <c r="G150" s="5" t="s">
        <v>122</v>
      </c>
    </row>
    <row r="151" spans="3:11" x14ac:dyDescent="0.25">
      <c r="C151" s="5">
        <v>29.1</v>
      </c>
      <c r="D151" s="5">
        <v>101</v>
      </c>
      <c r="E151" s="5" t="s">
        <v>86</v>
      </c>
      <c r="F151" s="5" t="s">
        <v>16</v>
      </c>
      <c r="G151" s="5" t="s">
        <v>122</v>
      </c>
    </row>
    <row r="152" spans="3:11" x14ac:dyDescent="0.25">
      <c r="C152" s="7">
        <v>29.5</v>
      </c>
      <c r="D152" s="5">
        <v>123</v>
      </c>
      <c r="E152" s="5" t="s">
        <v>15</v>
      </c>
      <c r="F152" s="5" t="s">
        <v>16</v>
      </c>
      <c r="G152" s="5" t="s">
        <v>122</v>
      </c>
    </row>
    <row r="153" spans="3:11" x14ac:dyDescent="0.25">
      <c r="C153" s="7">
        <v>29.69</v>
      </c>
      <c r="D153" s="5">
        <v>120</v>
      </c>
      <c r="E153" s="5" t="s">
        <v>46</v>
      </c>
      <c r="F153" s="5" t="s">
        <v>16</v>
      </c>
      <c r="G153" s="5" t="s">
        <v>122</v>
      </c>
    </row>
    <row r="154" spans="3:11" x14ac:dyDescent="0.25">
      <c r="C154" s="7">
        <v>29.86</v>
      </c>
      <c r="D154" s="5">
        <v>120</v>
      </c>
      <c r="E154" s="5" t="s">
        <v>15</v>
      </c>
      <c r="F154" s="5" t="s">
        <v>16</v>
      </c>
      <c r="G154" s="5" t="s">
        <v>122</v>
      </c>
    </row>
    <row r="158" spans="3:11" ht="13" x14ac:dyDescent="0.25">
      <c r="C158" s="16" t="s">
        <v>189</v>
      </c>
      <c r="D158" s="16" t="s">
        <v>190</v>
      </c>
      <c r="E158" s="16" t="s">
        <v>191</v>
      </c>
      <c r="F158" s="16" t="s">
        <v>192</v>
      </c>
      <c r="G158" s="16" t="s">
        <v>193</v>
      </c>
      <c r="I158" s="21" t="s">
        <v>194</v>
      </c>
      <c r="J158" s="17" t="s">
        <v>195</v>
      </c>
      <c r="K158" s="17" t="s">
        <v>196</v>
      </c>
    </row>
    <row r="159" spans="3:11" x14ac:dyDescent="0.25">
      <c r="C159" s="19">
        <v>26</v>
      </c>
      <c r="D159" s="5">
        <v>117</v>
      </c>
      <c r="E159" s="5" t="s">
        <v>37</v>
      </c>
      <c r="F159" s="5" t="s">
        <v>16</v>
      </c>
      <c r="G159" s="5" t="s">
        <v>128</v>
      </c>
      <c r="I159" s="18">
        <f>MAX(C159:C189)</f>
        <v>28.98</v>
      </c>
      <c r="J159" s="18">
        <f>MIN(C159:C189)</f>
        <v>26</v>
      </c>
      <c r="K159" s="18">
        <f>AVERAGE(C159:C189)</f>
        <v>27.53290322580645</v>
      </c>
    </row>
    <row r="160" spans="3:11" x14ac:dyDescent="0.25">
      <c r="C160" s="19">
        <v>26.74</v>
      </c>
      <c r="D160" s="5">
        <v>119</v>
      </c>
      <c r="E160" s="5" t="s">
        <v>15</v>
      </c>
      <c r="F160" s="5" t="s">
        <v>16</v>
      </c>
      <c r="G160" s="5" t="s">
        <v>128</v>
      </c>
      <c r="I160" s="17" t="s">
        <v>197</v>
      </c>
      <c r="J160" s="17" t="s">
        <v>198</v>
      </c>
      <c r="K160" s="17" t="s">
        <v>199</v>
      </c>
    </row>
    <row r="161" spans="3:11" x14ac:dyDescent="0.25">
      <c r="C161" s="19">
        <v>27.08</v>
      </c>
      <c r="D161" s="5">
        <v>119</v>
      </c>
      <c r="E161" s="5" t="s">
        <v>15</v>
      </c>
      <c r="F161" s="5" t="s">
        <v>16</v>
      </c>
      <c r="G161" s="5" t="s">
        <v>128</v>
      </c>
      <c r="I161" s="15">
        <f>MAX(D159:D189)</f>
        <v>126</v>
      </c>
      <c r="J161" s="15">
        <f>MIN(D159:D189)</f>
        <v>97</v>
      </c>
      <c r="K161" s="18">
        <f>AVERAGE(D159:D189)</f>
        <v>116.7741935483871</v>
      </c>
    </row>
    <row r="162" spans="3:11" x14ac:dyDescent="0.25">
      <c r="C162" s="19">
        <v>27.75</v>
      </c>
      <c r="D162" s="5">
        <v>119</v>
      </c>
      <c r="E162" s="5" t="s">
        <v>15</v>
      </c>
      <c r="F162" s="5" t="s">
        <v>16</v>
      </c>
      <c r="G162" s="5" t="s">
        <v>128</v>
      </c>
    </row>
    <row r="163" spans="3:11" x14ac:dyDescent="0.25">
      <c r="C163" s="19">
        <v>28.51</v>
      </c>
      <c r="D163" s="5">
        <v>119</v>
      </c>
      <c r="E163" s="5" t="s">
        <v>15</v>
      </c>
      <c r="F163" s="5" t="s">
        <v>16</v>
      </c>
      <c r="G163" s="5" t="s">
        <v>128</v>
      </c>
    </row>
    <row r="164" spans="3:11" x14ac:dyDescent="0.25">
      <c r="C164" s="19">
        <v>28.98</v>
      </c>
      <c r="D164" s="5">
        <v>109</v>
      </c>
      <c r="E164" s="5" t="s">
        <v>15</v>
      </c>
      <c r="F164" s="5" t="s">
        <v>16</v>
      </c>
      <c r="G164" s="5" t="s">
        <v>128</v>
      </c>
    </row>
    <row r="165" spans="3:11" x14ac:dyDescent="0.25">
      <c r="C165" s="7">
        <v>26.57</v>
      </c>
      <c r="D165" s="5">
        <v>126</v>
      </c>
      <c r="E165" s="5" t="s">
        <v>86</v>
      </c>
      <c r="F165" s="5" t="s">
        <v>16</v>
      </c>
      <c r="G165" s="5" t="s">
        <v>128</v>
      </c>
    </row>
    <row r="166" spans="3:11" x14ac:dyDescent="0.25">
      <c r="C166" s="7">
        <v>26.73</v>
      </c>
      <c r="D166" s="5">
        <v>119</v>
      </c>
      <c r="E166" s="5" t="s">
        <v>15</v>
      </c>
      <c r="F166" s="5" t="s">
        <v>16</v>
      </c>
      <c r="G166" s="5" t="s">
        <v>128</v>
      </c>
    </row>
    <row r="167" spans="3:11" x14ac:dyDescent="0.25">
      <c r="C167" s="5">
        <v>26.8</v>
      </c>
      <c r="D167" s="5">
        <v>116</v>
      </c>
      <c r="E167" s="5" t="s">
        <v>37</v>
      </c>
      <c r="F167" s="5" t="s">
        <v>16</v>
      </c>
      <c r="G167" s="5" t="s">
        <v>128</v>
      </c>
    </row>
    <row r="168" spans="3:11" x14ac:dyDescent="0.25">
      <c r="C168" s="7">
        <v>26.85</v>
      </c>
      <c r="D168" s="5">
        <v>115</v>
      </c>
      <c r="E168" s="5" t="s">
        <v>15</v>
      </c>
      <c r="F168" s="5" t="s">
        <v>16</v>
      </c>
      <c r="G168" s="5" t="s">
        <v>128</v>
      </c>
    </row>
    <row r="169" spans="3:11" x14ac:dyDescent="0.25">
      <c r="C169" s="7">
        <v>26.86</v>
      </c>
      <c r="D169" s="5">
        <v>124</v>
      </c>
      <c r="E169" s="5" t="s">
        <v>37</v>
      </c>
      <c r="F169" s="5" t="s">
        <v>16</v>
      </c>
      <c r="G169" s="5" t="s">
        <v>128</v>
      </c>
    </row>
    <row r="170" spans="3:11" x14ac:dyDescent="0.25">
      <c r="C170" s="7">
        <v>26.91</v>
      </c>
      <c r="D170" s="5">
        <v>119</v>
      </c>
      <c r="E170" s="5" t="s">
        <v>15</v>
      </c>
      <c r="F170" s="5" t="s">
        <v>16</v>
      </c>
      <c r="G170" s="5" t="s">
        <v>128</v>
      </c>
    </row>
    <row r="171" spans="3:11" x14ac:dyDescent="0.25">
      <c r="C171" s="7">
        <v>26.99</v>
      </c>
      <c r="D171" s="5">
        <v>113</v>
      </c>
      <c r="E171" s="5" t="s">
        <v>15</v>
      </c>
      <c r="F171" s="5" t="s">
        <v>16</v>
      </c>
      <c r="G171" s="5" t="s">
        <v>128</v>
      </c>
    </row>
    <row r="172" spans="3:11" x14ac:dyDescent="0.25">
      <c r="C172" s="7">
        <v>27.03</v>
      </c>
      <c r="D172" s="5">
        <v>98</v>
      </c>
      <c r="E172" s="5" t="s">
        <v>15</v>
      </c>
      <c r="F172" s="5" t="s">
        <v>16</v>
      </c>
      <c r="G172" s="5" t="s">
        <v>128</v>
      </c>
    </row>
    <row r="173" spans="3:11" x14ac:dyDescent="0.25">
      <c r="C173" s="5">
        <v>27.2</v>
      </c>
      <c r="D173" s="5">
        <v>120</v>
      </c>
      <c r="E173" s="5" t="s">
        <v>15</v>
      </c>
      <c r="F173" s="5" t="s">
        <v>16</v>
      </c>
      <c r="G173" s="5" t="s">
        <v>128</v>
      </c>
    </row>
    <row r="174" spans="3:11" x14ac:dyDescent="0.25">
      <c r="C174" s="7">
        <v>27.23</v>
      </c>
      <c r="D174" s="5">
        <v>119</v>
      </c>
      <c r="E174" s="5" t="s">
        <v>15</v>
      </c>
      <c r="F174" s="5" t="s">
        <v>16</v>
      </c>
      <c r="G174" s="5" t="s">
        <v>128</v>
      </c>
    </row>
    <row r="175" spans="3:11" x14ac:dyDescent="0.25">
      <c r="C175" s="7">
        <v>27.38</v>
      </c>
      <c r="D175" s="5">
        <v>114</v>
      </c>
      <c r="E175" s="5" t="s">
        <v>15</v>
      </c>
      <c r="F175" s="5" t="s">
        <v>16</v>
      </c>
      <c r="G175" s="5" t="s">
        <v>128</v>
      </c>
    </row>
    <row r="176" spans="3:11" x14ac:dyDescent="0.25">
      <c r="C176" s="5">
        <v>27.4</v>
      </c>
      <c r="D176" s="5">
        <v>115</v>
      </c>
      <c r="E176" s="5" t="s">
        <v>15</v>
      </c>
      <c r="F176" s="5" t="s">
        <v>16</v>
      </c>
      <c r="G176" s="5" t="s">
        <v>128</v>
      </c>
    </row>
    <row r="177" spans="3:11" x14ac:dyDescent="0.25">
      <c r="C177" s="7">
        <v>27.44</v>
      </c>
      <c r="D177" s="5">
        <v>111</v>
      </c>
      <c r="E177" s="5" t="s">
        <v>15</v>
      </c>
      <c r="F177" s="5" t="s">
        <v>16</v>
      </c>
      <c r="G177" s="5" t="s">
        <v>128</v>
      </c>
    </row>
    <row r="178" spans="3:11" x14ac:dyDescent="0.25">
      <c r="C178" s="7">
        <v>27.49</v>
      </c>
      <c r="D178" s="5">
        <v>97</v>
      </c>
      <c r="E178" s="5" t="s">
        <v>37</v>
      </c>
      <c r="F178" s="5" t="s">
        <v>16</v>
      </c>
      <c r="G178" s="5" t="s">
        <v>128</v>
      </c>
    </row>
    <row r="179" spans="3:11" x14ac:dyDescent="0.25">
      <c r="C179" s="7">
        <v>27.54</v>
      </c>
      <c r="D179" s="5">
        <v>119</v>
      </c>
      <c r="E179" s="5" t="s">
        <v>15</v>
      </c>
      <c r="F179" s="5" t="s">
        <v>16</v>
      </c>
      <c r="G179" s="5" t="s">
        <v>128</v>
      </c>
    </row>
    <row r="180" spans="3:11" x14ac:dyDescent="0.25">
      <c r="C180" s="7">
        <v>27.67</v>
      </c>
      <c r="D180" s="5">
        <v>117</v>
      </c>
      <c r="E180" s="5" t="s">
        <v>15</v>
      </c>
      <c r="F180" s="5" t="s">
        <v>16</v>
      </c>
      <c r="G180" s="5" t="s">
        <v>128</v>
      </c>
    </row>
    <row r="181" spans="3:11" x14ac:dyDescent="0.25">
      <c r="C181" s="7">
        <v>27.84</v>
      </c>
      <c r="D181" s="5">
        <v>119</v>
      </c>
      <c r="E181" s="5" t="s">
        <v>15</v>
      </c>
      <c r="F181" s="5" t="s">
        <v>16</v>
      </c>
      <c r="G181" s="5" t="s">
        <v>128</v>
      </c>
    </row>
    <row r="182" spans="3:11" x14ac:dyDescent="0.25">
      <c r="C182" s="7">
        <v>27.87</v>
      </c>
      <c r="D182" s="5">
        <v>120</v>
      </c>
      <c r="E182" s="5" t="s">
        <v>15</v>
      </c>
      <c r="F182" s="5" t="s">
        <v>16</v>
      </c>
      <c r="G182" s="5" t="s">
        <v>128</v>
      </c>
    </row>
    <row r="183" spans="3:11" x14ac:dyDescent="0.25">
      <c r="C183" s="7">
        <v>27.97</v>
      </c>
      <c r="D183" s="5">
        <v>110</v>
      </c>
      <c r="E183" s="5" t="s">
        <v>15</v>
      </c>
      <c r="F183" s="5" t="s">
        <v>16</v>
      </c>
      <c r="G183" s="5" t="s">
        <v>128</v>
      </c>
    </row>
    <row r="184" spans="3:11" x14ac:dyDescent="0.25">
      <c r="C184" s="7">
        <v>28.12</v>
      </c>
      <c r="D184" s="5">
        <v>126</v>
      </c>
      <c r="E184" s="5" t="s">
        <v>15</v>
      </c>
      <c r="F184" s="5" t="s">
        <v>16</v>
      </c>
      <c r="G184" s="5" t="s">
        <v>128</v>
      </c>
    </row>
    <row r="185" spans="3:11" x14ac:dyDescent="0.25">
      <c r="C185" s="7">
        <v>28.4</v>
      </c>
      <c r="D185" s="5">
        <v>114</v>
      </c>
      <c r="E185" s="5" t="s">
        <v>37</v>
      </c>
      <c r="F185" s="5" t="s">
        <v>16</v>
      </c>
      <c r="G185" s="5" t="s">
        <v>128</v>
      </c>
    </row>
    <row r="186" spans="3:11" x14ac:dyDescent="0.25">
      <c r="C186" s="7">
        <v>28.46</v>
      </c>
      <c r="D186" s="5">
        <v>126</v>
      </c>
      <c r="E186" s="5" t="s">
        <v>15</v>
      </c>
      <c r="F186" s="5" t="s">
        <v>16</v>
      </c>
      <c r="G186" s="5" t="s">
        <v>128</v>
      </c>
    </row>
    <row r="187" spans="3:11" x14ac:dyDescent="0.25">
      <c r="C187" s="7">
        <v>28.81</v>
      </c>
      <c r="D187" s="5">
        <v>126</v>
      </c>
      <c r="E187" s="5" t="s">
        <v>15</v>
      </c>
      <c r="F187" s="5" t="s">
        <v>16</v>
      </c>
      <c r="G187" s="5" t="s">
        <v>128</v>
      </c>
    </row>
    <row r="188" spans="3:11" x14ac:dyDescent="0.25">
      <c r="C188" s="7">
        <v>28.85</v>
      </c>
      <c r="D188" s="5">
        <v>125</v>
      </c>
      <c r="E188" s="5" t="s">
        <v>15</v>
      </c>
      <c r="F188" s="5" t="s">
        <v>16</v>
      </c>
      <c r="G188" s="5" t="s">
        <v>128</v>
      </c>
    </row>
    <row r="189" spans="3:11" x14ac:dyDescent="0.25">
      <c r="C189" s="7">
        <v>28.05</v>
      </c>
      <c r="D189" s="5">
        <v>110</v>
      </c>
      <c r="E189" s="5" t="s">
        <v>15</v>
      </c>
      <c r="F189" s="5" t="s">
        <v>16</v>
      </c>
      <c r="G189" s="5" t="s">
        <v>128</v>
      </c>
    </row>
    <row r="192" spans="3:11" ht="13" x14ac:dyDescent="0.25">
      <c r="C192" s="16" t="s">
        <v>189</v>
      </c>
      <c r="D192" s="16" t="s">
        <v>190</v>
      </c>
      <c r="E192" s="16" t="s">
        <v>191</v>
      </c>
      <c r="F192" s="16" t="s">
        <v>192</v>
      </c>
      <c r="G192" s="16" t="s">
        <v>193</v>
      </c>
      <c r="I192" s="21" t="s">
        <v>194</v>
      </c>
      <c r="J192" s="17" t="s">
        <v>195</v>
      </c>
      <c r="K192" s="17" t="s">
        <v>196</v>
      </c>
    </row>
    <row r="193" spans="3:11" x14ac:dyDescent="0.25">
      <c r="C193" s="7">
        <v>28.55</v>
      </c>
      <c r="D193" s="5">
        <v>119</v>
      </c>
      <c r="E193" s="5" t="s">
        <v>15</v>
      </c>
      <c r="F193" s="5" t="s">
        <v>16</v>
      </c>
      <c r="G193" s="5" t="s">
        <v>154</v>
      </c>
      <c r="I193" s="18">
        <f>MAX(C193:C195)</f>
        <v>29.66</v>
      </c>
      <c r="J193" s="18">
        <f>MIN(C193:C195)</f>
        <v>27.93</v>
      </c>
      <c r="K193" s="18">
        <f>AVERAGE(C193:C195)</f>
        <v>28.713333333333335</v>
      </c>
    </row>
    <row r="194" spans="3:11" x14ac:dyDescent="0.25">
      <c r="C194" s="7">
        <v>29.66</v>
      </c>
      <c r="D194" s="5">
        <v>126</v>
      </c>
      <c r="E194" s="5" t="s">
        <v>86</v>
      </c>
      <c r="F194" s="5" t="s">
        <v>16</v>
      </c>
      <c r="G194" s="5" t="s">
        <v>154</v>
      </c>
      <c r="I194" s="17" t="s">
        <v>197</v>
      </c>
      <c r="J194" s="17" t="s">
        <v>198</v>
      </c>
      <c r="K194" s="17" t="s">
        <v>199</v>
      </c>
    </row>
    <row r="195" spans="3:11" x14ac:dyDescent="0.25">
      <c r="C195" s="19">
        <v>27.93</v>
      </c>
      <c r="D195" s="5">
        <v>110</v>
      </c>
      <c r="E195" s="5" t="s">
        <v>15</v>
      </c>
      <c r="F195" s="5" t="s">
        <v>16</v>
      </c>
      <c r="G195" s="5" t="s">
        <v>154</v>
      </c>
      <c r="I195" s="15">
        <f>MAX(D193:D195)</f>
        <v>126</v>
      </c>
      <c r="J195" s="15">
        <f>MIN(D193:D195)</f>
        <v>110</v>
      </c>
      <c r="K195" s="18">
        <f>AVERAGE(D193:D195)</f>
        <v>118.33333333333333</v>
      </c>
    </row>
    <row r="199" spans="3:11" ht="13" x14ac:dyDescent="0.25">
      <c r="C199" s="16" t="s">
        <v>189</v>
      </c>
      <c r="D199" s="16" t="s">
        <v>190</v>
      </c>
      <c r="E199" s="16" t="s">
        <v>191</v>
      </c>
      <c r="F199" s="16" t="s">
        <v>192</v>
      </c>
      <c r="G199" s="16" t="s">
        <v>193</v>
      </c>
      <c r="I199" s="21" t="s">
        <v>194</v>
      </c>
      <c r="J199" s="17" t="s">
        <v>195</v>
      </c>
      <c r="K199" s="17" t="s">
        <v>196</v>
      </c>
    </row>
    <row r="200" spans="3:11" x14ac:dyDescent="0.25">
      <c r="C200" s="19">
        <v>25</v>
      </c>
      <c r="D200" s="5">
        <v>113</v>
      </c>
      <c r="E200" s="5" t="s">
        <v>15</v>
      </c>
      <c r="F200" s="5" t="s">
        <v>16</v>
      </c>
      <c r="G200" s="5" t="s">
        <v>25</v>
      </c>
      <c r="I200" s="18">
        <f>MAX(C200:C212)</f>
        <v>27.26</v>
      </c>
      <c r="J200" s="18">
        <f>MIN(C200:C212)</f>
        <v>24.95</v>
      </c>
      <c r="K200" s="18">
        <f>AVERAGE(C200:C212)</f>
        <v>25.976923076923075</v>
      </c>
    </row>
    <row r="201" spans="3:11" x14ac:dyDescent="0.25">
      <c r="C201" s="19">
        <v>26.5</v>
      </c>
      <c r="D201" s="5">
        <v>115</v>
      </c>
      <c r="E201" s="5" t="s">
        <v>15</v>
      </c>
      <c r="F201" s="5" t="s">
        <v>16</v>
      </c>
      <c r="G201" s="5" t="s">
        <v>25</v>
      </c>
      <c r="I201" s="17" t="s">
        <v>197</v>
      </c>
      <c r="J201" s="17" t="s">
        <v>198</v>
      </c>
      <c r="K201" s="17" t="s">
        <v>199</v>
      </c>
    </row>
    <row r="202" spans="3:11" x14ac:dyDescent="0.25">
      <c r="C202" s="7">
        <v>24.95</v>
      </c>
      <c r="D202" s="5">
        <v>115</v>
      </c>
      <c r="E202" s="5" t="s">
        <v>15</v>
      </c>
      <c r="F202" s="5" t="s">
        <v>16</v>
      </c>
      <c r="G202" s="5" t="s">
        <v>25</v>
      </c>
      <c r="I202" s="15">
        <f>MAX(D200:D212)</f>
        <v>122</v>
      </c>
      <c r="J202" s="15">
        <f>MIN(D200:D212)</f>
        <v>97</v>
      </c>
      <c r="K202" s="18">
        <f>AVERAGE(D200:D212)</f>
        <v>112.92307692307692</v>
      </c>
    </row>
    <row r="203" spans="3:11" x14ac:dyDescent="0.25">
      <c r="C203" s="7">
        <v>24.95</v>
      </c>
      <c r="D203" s="5">
        <v>112</v>
      </c>
      <c r="E203" s="5" t="s">
        <v>37</v>
      </c>
      <c r="F203" s="5" t="s">
        <v>16</v>
      </c>
      <c r="G203" s="5" t="s">
        <v>25</v>
      </c>
    </row>
    <row r="204" spans="3:11" x14ac:dyDescent="0.25">
      <c r="C204" s="7">
        <v>25.26</v>
      </c>
      <c r="D204" s="5">
        <v>97</v>
      </c>
      <c r="E204" s="5" t="s">
        <v>15</v>
      </c>
      <c r="F204" s="5" t="s">
        <v>16</v>
      </c>
      <c r="G204" s="5" t="s">
        <v>25</v>
      </c>
    </row>
    <row r="205" spans="3:11" x14ac:dyDescent="0.25">
      <c r="C205" s="5">
        <v>25.3</v>
      </c>
      <c r="D205" s="5">
        <v>119</v>
      </c>
      <c r="E205" s="5" t="s">
        <v>15</v>
      </c>
      <c r="F205" s="5" t="s">
        <v>16</v>
      </c>
      <c r="G205" s="5" t="s">
        <v>25</v>
      </c>
    </row>
    <row r="206" spans="3:11" x14ac:dyDescent="0.25">
      <c r="C206" s="7">
        <v>25.97</v>
      </c>
      <c r="D206" s="5">
        <v>110</v>
      </c>
      <c r="E206" s="5" t="s">
        <v>37</v>
      </c>
      <c r="F206" s="5" t="s">
        <v>16</v>
      </c>
      <c r="G206" s="5" t="s">
        <v>25</v>
      </c>
    </row>
    <row r="207" spans="3:11" x14ac:dyDescent="0.25">
      <c r="C207" s="7">
        <v>26.66</v>
      </c>
      <c r="D207" s="5">
        <v>119</v>
      </c>
      <c r="E207" s="5" t="s">
        <v>15</v>
      </c>
      <c r="F207" s="5" t="s">
        <v>16</v>
      </c>
      <c r="G207" s="5" t="s">
        <v>25</v>
      </c>
    </row>
    <row r="208" spans="3:11" x14ac:dyDescent="0.25">
      <c r="C208" s="7">
        <v>26.68</v>
      </c>
      <c r="D208" s="5">
        <v>122</v>
      </c>
      <c r="E208" s="5" t="s">
        <v>23</v>
      </c>
      <c r="F208" s="5" t="s">
        <v>16</v>
      </c>
      <c r="G208" s="5" t="s">
        <v>25</v>
      </c>
    </row>
    <row r="209" spans="3:11" x14ac:dyDescent="0.25">
      <c r="C209" s="5">
        <v>26.8</v>
      </c>
      <c r="D209" s="5">
        <v>110</v>
      </c>
      <c r="E209" s="5" t="s">
        <v>70</v>
      </c>
      <c r="F209" s="5" t="s">
        <v>16</v>
      </c>
      <c r="G209" s="5" t="s">
        <v>25</v>
      </c>
    </row>
    <row r="210" spans="3:11" x14ac:dyDescent="0.25">
      <c r="C210" s="5">
        <v>27.1</v>
      </c>
      <c r="D210" s="5">
        <v>115</v>
      </c>
      <c r="E210" s="5" t="s">
        <v>15</v>
      </c>
      <c r="F210" s="5" t="s">
        <v>16</v>
      </c>
      <c r="G210" s="5" t="s">
        <v>25</v>
      </c>
    </row>
    <row r="211" spans="3:11" x14ac:dyDescent="0.25">
      <c r="C211" s="7">
        <v>27.26</v>
      </c>
      <c r="D211" s="5">
        <v>113</v>
      </c>
      <c r="E211" s="5" t="s">
        <v>15</v>
      </c>
      <c r="F211" s="5" t="s">
        <v>16</v>
      </c>
      <c r="G211" s="5" t="s">
        <v>25</v>
      </c>
    </row>
    <row r="212" spans="3:11" x14ac:dyDescent="0.25">
      <c r="C212" s="7">
        <v>25.27</v>
      </c>
      <c r="D212" s="5">
        <v>108</v>
      </c>
      <c r="E212" s="5" t="s">
        <v>15</v>
      </c>
      <c r="F212" s="5" t="s">
        <v>16</v>
      </c>
      <c r="G212" s="5" t="s">
        <v>25</v>
      </c>
    </row>
    <row r="216" spans="3:11" ht="13" x14ac:dyDescent="0.25">
      <c r="C216" s="16" t="s">
        <v>189</v>
      </c>
      <c r="D216" s="16" t="s">
        <v>190</v>
      </c>
      <c r="E216" s="16" t="s">
        <v>191</v>
      </c>
      <c r="F216" s="16" t="s">
        <v>192</v>
      </c>
      <c r="G216" s="16" t="s">
        <v>193</v>
      </c>
      <c r="I216" s="21" t="s">
        <v>194</v>
      </c>
      <c r="J216" s="17" t="s">
        <v>195</v>
      </c>
      <c r="K216" s="17" t="s">
        <v>196</v>
      </c>
    </row>
    <row r="217" spans="3:11" x14ac:dyDescent="0.25">
      <c r="C217" s="19">
        <v>24.32</v>
      </c>
      <c r="D217" s="5">
        <v>115</v>
      </c>
      <c r="E217" s="5" t="s">
        <v>15</v>
      </c>
      <c r="F217" s="5" t="s">
        <v>16</v>
      </c>
      <c r="G217" s="5" t="s">
        <v>29</v>
      </c>
      <c r="I217" s="18">
        <f>MAX(C217:C224)</f>
        <v>27</v>
      </c>
      <c r="J217" s="18">
        <f>MIN(C217:C224)</f>
        <v>23.88</v>
      </c>
      <c r="K217" s="18">
        <f>AVERAGE(C217:C224)</f>
        <v>25.105375000000002</v>
      </c>
    </row>
    <row r="218" spans="3:11" x14ac:dyDescent="0.25">
      <c r="C218" s="19">
        <v>27</v>
      </c>
      <c r="D218" s="5">
        <v>118</v>
      </c>
      <c r="E218" s="5" t="s">
        <v>37</v>
      </c>
      <c r="F218" s="5" t="s">
        <v>16</v>
      </c>
      <c r="G218" s="5" t="s">
        <v>29</v>
      </c>
      <c r="I218" s="17" t="s">
        <v>197</v>
      </c>
      <c r="J218" s="17" t="s">
        <v>198</v>
      </c>
      <c r="K218" s="17" t="s">
        <v>199</v>
      </c>
    </row>
    <row r="219" spans="3:11" x14ac:dyDescent="0.25">
      <c r="C219" s="7">
        <v>23.88</v>
      </c>
      <c r="D219" s="5">
        <v>112</v>
      </c>
      <c r="E219" s="5" t="s">
        <v>15</v>
      </c>
      <c r="F219" s="5" t="s">
        <v>16</v>
      </c>
      <c r="G219" s="5" t="s">
        <v>29</v>
      </c>
      <c r="I219" s="15">
        <f>MAX(D217:D224)</f>
        <v>118</v>
      </c>
      <c r="J219" s="15">
        <f>MIN(D217:D224)</f>
        <v>107</v>
      </c>
      <c r="K219" s="18">
        <f>AVERAGE(D217:D224)</f>
        <v>113.25</v>
      </c>
    </row>
    <row r="220" spans="3:11" x14ac:dyDescent="0.25">
      <c r="C220" s="7">
        <v>24.28</v>
      </c>
      <c r="D220" s="5">
        <v>116</v>
      </c>
      <c r="E220" s="5" t="s">
        <v>15</v>
      </c>
      <c r="F220" s="5" t="s">
        <v>16</v>
      </c>
      <c r="G220" s="5" t="s">
        <v>29</v>
      </c>
    </row>
    <row r="221" spans="3:11" x14ac:dyDescent="0.25">
      <c r="C221" s="5">
        <v>24.5</v>
      </c>
      <c r="D221" s="5">
        <v>110</v>
      </c>
      <c r="E221" s="5" t="s">
        <v>15</v>
      </c>
      <c r="F221" s="5" t="s">
        <v>16</v>
      </c>
      <c r="G221" s="5" t="s">
        <v>29</v>
      </c>
    </row>
    <row r="222" spans="3:11" x14ac:dyDescent="0.25">
      <c r="C222" s="7">
        <v>25.073</v>
      </c>
      <c r="D222" s="5">
        <v>110</v>
      </c>
      <c r="E222" s="5" t="s">
        <v>15</v>
      </c>
      <c r="F222" s="5" t="s">
        <v>16</v>
      </c>
      <c r="G222" s="5" t="s">
        <v>29</v>
      </c>
    </row>
    <row r="223" spans="3:11" x14ac:dyDescent="0.25">
      <c r="C223" s="5">
        <v>25.4</v>
      </c>
      <c r="D223" s="5">
        <v>118</v>
      </c>
      <c r="E223" s="5" t="s">
        <v>15</v>
      </c>
      <c r="F223" s="5" t="s">
        <v>16</v>
      </c>
      <c r="G223" s="5" t="s">
        <v>29</v>
      </c>
    </row>
    <row r="224" spans="3:11" x14ac:dyDescent="0.25">
      <c r="C224" s="7">
        <v>26.39</v>
      </c>
      <c r="D224" s="5">
        <v>107</v>
      </c>
      <c r="E224" s="5" t="s">
        <v>15</v>
      </c>
      <c r="F224" s="5" t="s">
        <v>16</v>
      </c>
      <c r="G224" s="5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Risposte del modulo 1</vt:lpstr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Antonella Pesce</cp:lastModifiedBy>
  <dcterms:created xsi:type="dcterms:W3CDTF">2025-11-25T20:09:37Z</dcterms:created>
  <dcterms:modified xsi:type="dcterms:W3CDTF">2025-11-27T16:44:07Z</dcterms:modified>
</cp:coreProperties>
</file>